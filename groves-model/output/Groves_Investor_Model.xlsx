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qPL_Fact" sheetId="1" state="hidden" r:id="rId1"/>
    <sheet name="How To Use" sheetId="2" state="visible" r:id="rId2"/>
    <sheet name="Executive Summary" sheetId="3" state="visible" r:id="rId3"/>
    <sheet name="Assumptions" sheetId="4" state="visible" r:id="rId4"/>
    <sheet name="Full P&amp;L" sheetId="5" state="visible" r:id="rId5"/>
    <sheet name="T12_PL" sheetId="6" state="visible" r:id="rId6"/>
    <sheet name="Trailing Analysis" sheetId="7" state="visible" r:id="rId7"/>
    <sheet name="Distribution_Model" sheetId="8" state="visible" r:id="rId8"/>
    <sheet name="TIC Ownership" sheetId="9" state="visible" r:id="rId9"/>
    <sheet name="RR Summary" sheetId="10" state="visible" r:id="rId10"/>
    <sheet name="RR Input" sheetId="11" state="visible" r:id="rId11"/>
    <sheet name="Unit Improvements" sheetId="12" state="visible" r:id="rId12"/>
    <sheet name="Escrow_Summary" sheetId="13" state="visible" r:id="rId13"/>
    <sheet name="Escrow_Input" sheetId="14" state="visible" r:id="rId14"/>
    <sheet name="CapEx Profile" sheetId="15" state="visible" r:id="rId15"/>
    <sheet name="Refi Stress Test" sheetId="16" state="visible" r:id="rId16"/>
    <sheet name="Rent Com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$#,##0;($#,##0);&quot;-&quot;"/>
    <numFmt numFmtId="166" formatCode="0.0%"/>
    <numFmt numFmtId="167" formatCode="0.0"/>
    <numFmt numFmtId="168" formatCode="MMM-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EB6BF"/>
      <sz val="9"/>
    </font>
    <font>
      <name val="Calibri"/>
      <b val="1"/>
      <color rgb="00FFFFFF"/>
      <sz val="10"/>
    </font>
    <font>
      <name val="Calibri"/>
      <color rgb="007F8C8D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8449"/>
      <sz val="10"/>
    </font>
    <font>
      <name val="Calibri"/>
      <b val="1"/>
      <color rgb="002C3E50"/>
      <sz val="10"/>
    </font>
    <font>
      <name val="Calibri"/>
      <b val="1"/>
      <color rgb="000000FF"/>
      <sz val="10"/>
    </font>
    <font>
      <name val="Calibri"/>
      <b val="1"/>
      <color rgb="00D4AC0D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32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E8EAE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6" fillId="6" borderId="0" pivotButton="0" quotePrefix="0" xfId="0"/>
    <xf numFmtId="0" fontId="5" fillId="6" borderId="0" pivotButton="0" quotePrefix="0" xfId="0"/>
    <xf numFmtId="0" fontId="7" fillId="7" borderId="0" pivotButton="0" quotePrefix="0" xfId="0"/>
    <xf numFmtId="165" fontId="7" fillId="7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8" fillId="6" borderId="0" pivotButton="0" quotePrefix="0" xfId="0"/>
    <xf numFmtId="4" fontId="6" fillId="6" borderId="0" pivotButton="0" quotePrefix="0" xfId="0"/>
    <xf numFmtId="0" fontId="0" fillId="6" borderId="0" pivotButton="0" quotePrefix="0" xfId="0"/>
    <xf numFmtId="0" fontId="8" fillId="5" borderId="0" pivotButton="0" quotePrefix="0" xfId="0"/>
    <xf numFmtId="166" fontId="6" fillId="5" borderId="0" pivotButton="0" quotePrefix="0" xfId="0"/>
    <xf numFmtId="0" fontId="0" fillId="5" borderId="0" pivotButton="0" quotePrefix="0" xfId="0"/>
    <xf numFmtId="166" fontId="6" fillId="6" borderId="0" pivotButton="0" quotePrefix="0" xfId="0"/>
    <xf numFmtId="165" fontId="6" fillId="6" borderId="0" pivotButton="0" quotePrefix="0" xfId="0"/>
    <xf numFmtId="165" fontId="6" fillId="5" borderId="0" pivotButton="0" quotePrefix="0" xfId="0"/>
    <xf numFmtId="0" fontId="5" fillId="8" borderId="0" pivotButton="0" quotePrefix="0" xfId="0"/>
    <xf numFmtId="165" fontId="5" fillId="8" borderId="0" pivotButton="0" quotePrefix="0" xfId="0"/>
    <xf numFmtId="0" fontId="0" fillId="8" borderId="0" pivotButton="0" quotePrefix="0" xfId="0"/>
    <xf numFmtId="0" fontId="9" fillId="9" borderId="0" pivotButton="0" quotePrefix="0" xfId="0"/>
    <xf numFmtId="4" fontId="9" fillId="9" borderId="0" pivotButton="0" quotePrefix="0" xfId="0"/>
    <xf numFmtId="165" fontId="9" fillId="9" borderId="0" pivotButton="0" quotePrefix="0" xfId="0"/>
    <xf numFmtId="167" fontId="9" fillId="9" borderId="0" pivotButton="0" quotePrefix="0" xfId="0"/>
    <xf numFmtId="166" fontId="9" fillId="9" borderId="0" pivotButton="0" quotePrefix="0" xfId="0"/>
    <xf numFmtId="168" fontId="3" fillId="2" borderId="0" applyAlignment="1" pivotButton="0" quotePrefix="0" xfId="0">
      <alignment horizontal="center" vertical="center"/>
    </xf>
    <xf numFmtId="165" fontId="3" fillId="4" borderId="0" pivotButton="0" quotePrefix="0" xfId="0"/>
    <xf numFmtId="165" fontId="0" fillId="5" borderId="0" pivotButton="0" quotePrefix="0" xfId="0"/>
    <xf numFmtId="165" fontId="0" fillId="6" borderId="0" pivotButton="0" quotePrefix="0" xfId="0"/>
    <xf numFmtId="0" fontId="0" fillId="8" borderId="1" pivotButton="0" quotePrefix="0" xfId="0"/>
    <xf numFmtId="0" fontId="5" fillId="8" borderId="1" pivotButton="0" quotePrefix="0" xfId="0"/>
    <xf numFmtId="165" fontId="5" fillId="8" borderId="1" pivotButton="0" quotePrefix="0" xfId="0"/>
    <xf numFmtId="0" fontId="0" fillId="7" borderId="1" pivotButton="0" quotePrefix="0" xfId="0"/>
    <xf numFmtId="0" fontId="5" fillId="7" borderId="1" pivotButton="0" quotePrefix="0" xfId="0"/>
    <xf numFmtId="165" fontId="5" fillId="7" borderId="1" pivotButton="0" quotePrefix="0" xfId="0"/>
    <xf numFmtId="166" fontId="0" fillId="6" borderId="0" pivotButton="0" quotePrefix="0" xfId="0"/>
    <xf numFmtId="4" fontId="0" fillId="5" borderId="0" pivotButton="0" quotePrefix="0" xfId="0"/>
    <xf numFmtId="166" fontId="0" fillId="5" borderId="0" pivotButton="0" quotePrefix="0" xfId="0"/>
    <xf numFmtId="166" fontId="5" fillId="8" borderId="1" pivotButton="0" quotePrefix="0" xfId="0"/>
    <xf numFmtId="3" fontId="6" fillId="5" borderId="0" pivotButton="0" quotePrefix="0" xfId="0"/>
    <xf numFmtId="3" fontId="6" fillId="6" borderId="0" pivotButton="0" quotePrefix="0" xfId="0"/>
    <xf numFmtId="165" fontId="4" fillId="6" borderId="0" pivotButton="0" quotePrefix="0" xfId="0"/>
    <xf numFmtId="165" fontId="4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168" fontId="4" fillId="6" borderId="0" pivotButton="0" quotePrefix="0" xfId="0"/>
    <xf numFmtId="168" fontId="4" fillId="5" borderId="0" pivotButton="0" quotePrefix="0" xfId="0"/>
    <xf numFmtId="0" fontId="6" fillId="7" borderId="0" pivotButton="0" quotePrefix="0" xfId="0"/>
    <xf numFmtId="0" fontId="10" fillId="6" borderId="0" pivotButton="0" quotePrefix="0" xfId="0"/>
    <xf numFmtId="0" fontId="10" fillId="5" borderId="0" pivotButton="0" quotePrefix="0" xfId="0"/>
    <xf numFmtId="0" fontId="5" fillId="7" borderId="0" pivotButton="0" quotePrefix="0" xfId="0"/>
    <xf numFmtId="165" fontId="5" fillId="7" borderId="0" pivotButton="0" quotePrefix="0" xfId="0"/>
    <xf numFmtId="3" fontId="0" fillId="6" borderId="0" pivotButton="0" quotePrefix="0" xfId="0"/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GL</t>
        </is>
      </c>
      <c r="C1" t="inlineStr">
        <is>
          <t>Account</t>
        </is>
      </c>
      <c r="D1" t="inlineStr">
        <is>
          <t>NetAmount</t>
        </is>
      </c>
    </row>
    <row r="2">
      <c r="A2" s="1" t="n">
        <v>45505</v>
      </c>
      <c r="B2" t="inlineStr"/>
      <c r="C2" t="inlineStr">
        <is>
          <t>Application Fees</t>
        </is>
      </c>
      <c r="D2" t="n">
        <v>150</v>
      </c>
    </row>
    <row r="3">
      <c r="A3" s="1" t="n">
        <v>45505</v>
      </c>
      <c r="B3" t="inlineStr"/>
      <c r="C3" t="inlineStr">
        <is>
          <t>Bank Fees</t>
        </is>
      </c>
      <c r="D3" t="n">
        <v>835</v>
      </c>
    </row>
    <row r="4">
      <c r="A4" s="1" t="n">
        <v>45505</v>
      </c>
      <c r="B4" t="inlineStr"/>
      <c r="C4" t="inlineStr">
        <is>
          <t>CASH FLOW AFTER DEBT SERVICE</t>
        </is>
      </c>
      <c r="D4" t="n">
        <v>68254.98</v>
      </c>
    </row>
    <row r="5">
      <c r="A5" s="1" t="n">
        <v>45505</v>
      </c>
      <c r="B5" t="inlineStr"/>
      <c r="C5" t="inlineStr">
        <is>
          <t>Cap Rate</t>
        </is>
      </c>
      <c r="D5" t="n">
        <v>0.10186273</v>
      </c>
    </row>
    <row r="6">
      <c r="A6" s="1" t="n">
        <v>45505</v>
      </c>
      <c r="B6" t="inlineStr"/>
      <c r="C6" t="inlineStr">
        <is>
          <t>Cash-on-Cash (Ann.)</t>
        </is>
      </c>
      <c r="D6" t="n">
        <v>0.161960563876652</v>
      </c>
    </row>
    <row r="7">
      <c r="A7" s="1" t="n">
        <v>45505</v>
      </c>
      <c r="B7" t="inlineStr"/>
      <c r="C7" t="inlineStr">
        <is>
          <t>Cash-on-Cash (CFADS)</t>
        </is>
      </c>
      <c r="D7" t="n">
        <v>0.1804096387665198</v>
      </c>
    </row>
    <row r="8">
      <c r="A8" s="1" t="n">
        <v>45505</v>
      </c>
      <c r="B8" t="inlineStr"/>
      <c r="C8" t="inlineStr">
        <is>
          <t>Cash-on-Cash Return</t>
        </is>
      </c>
      <c r="D8" t="n">
        <v>0.08</v>
      </c>
    </row>
    <row r="9">
      <c r="A9" s="1" t="n">
        <v>45505</v>
      </c>
      <c r="B9" t="inlineStr"/>
      <c r="C9" t="inlineStr">
        <is>
          <t>DSCR</t>
        </is>
      </c>
      <c r="D9" t="n">
        <v>3.030929770663016</v>
      </c>
    </row>
    <row r="10">
      <c r="A10" s="1" t="n">
        <v>45505</v>
      </c>
      <c r="B10" t="inlineStr"/>
      <c r="C10" t="inlineStr">
        <is>
          <t>Delinquency</t>
        </is>
      </c>
      <c r="D10" t="n">
        <v>13385.17</v>
      </c>
    </row>
    <row r="11">
      <c r="A11" s="1" t="n">
        <v>45505</v>
      </c>
      <c r="B11" t="inlineStr"/>
      <c r="C11" t="inlineStr">
        <is>
          <t>EFFECTIVE GROSS INCOME (EGI)</t>
        </is>
      </c>
      <c r="D11" t="n">
        <v>148103.5</v>
      </c>
    </row>
    <row r="12">
      <c r="A12" s="1" t="n">
        <v>45505</v>
      </c>
      <c r="B12" t="inlineStr"/>
      <c r="C12" t="inlineStr">
        <is>
          <t>Effective Rental Income</t>
        </is>
      </c>
      <c r="D12" t="n">
        <v>145779.13</v>
      </c>
    </row>
    <row r="13">
      <c r="A13" s="1" t="n">
        <v>45505</v>
      </c>
      <c r="B13" t="inlineStr"/>
      <c r="C13" t="inlineStr">
        <is>
          <t>Expense Ratio</t>
        </is>
      </c>
      <c r="D13" t="n">
        <v>0.3122192925893041</v>
      </c>
    </row>
    <row r="14">
      <c r="A14" s="1" t="n">
        <v>45505</v>
      </c>
      <c r="B14" t="inlineStr"/>
      <c r="C14" t="inlineStr">
        <is>
          <t>General Maint. Labor</t>
        </is>
      </c>
      <c r="D14" t="n">
        <v>3683</v>
      </c>
    </row>
    <row r="15">
      <c r="A15" s="1" t="n">
        <v>45505</v>
      </c>
      <c r="B15" t="inlineStr"/>
      <c r="C15" t="inlineStr">
        <is>
          <t>Gross Potential Rent</t>
        </is>
      </c>
      <c r="D15" t="n">
        <v>167200</v>
      </c>
    </row>
    <row r="16">
      <c r="A16" s="1" t="n">
        <v>45505</v>
      </c>
      <c r="B16" t="inlineStr"/>
      <c r="C16" t="inlineStr">
        <is>
          <t>Interest</t>
        </is>
      </c>
      <c r="D16" t="n">
        <v>33607.75</v>
      </c>
    </row>
    <row r="17">
      <c r="A17" s="1" t="n">
        <v>45505</v>
      </c>
      <c r="B17" t="inlineStr"/>
      <c r="C17" t="inlineStr">
        <is>
          <t>Interest Income</t>
        </is>
      </c>
      <c r="D17" t="n">
        <v>244.37</v>
      </c>
    </row>
    <row r="18">
      <c r="A18" s="1" t="n">
        <v>45505</v>
      </c>
      <c r="B18" t="inlineStr"/>
      <c r="C18" t="inlineStr">
        <is>
          <t>Late Fees</t>
        </is>
      </c>
      <c r="D18" t="n">
        <v>1205</v>
      </c>
    </row>
    <row r="19">
      <c r="A19" s="1" t="n">
        <v>45505</v>
      </c>
      <c r="B19" t="inlineStr"/>
      <c r="C19" t="inlineStr">
        <is>
          <t>Loss/Gain to Market</t>
        </is>
      </c>
      <c r="D19" t="n">
        <v>-29299.58</v>
      </c>
    </row>
    <row r="20">
      <c r="A20" s="1" t="n">
        <v>45505</v>
      </c>
      <c r="B20" t="inlineStr"/>
      <c r="C20" t="inlineStr">
        <is>
          <t>Management Fee (4%)</t>
        </is>
      </c>
      <c r="D20" t="n">
        <v>321.54</v>
      </c>
    </row>
    <row r="21">
      <c r="A21" s="1" t="n">
        <v>45505</v>
      </c>
      <c r="B21" t="inlineStr"/>
      <c r="C21" t="inlineStr">
        <is>
          <t>Monthly Cash-on-Cash (Ann.)</t>
        </is>
      </c>
      <c r="D21" t="n">
        <v>0.18</v>
      </c>
    </row>
    <row r="22">
      <c r="A22" s="1" t="n">
        <v>45505</v>
      </c>
      <c r="B22" t="inlineStr"/>
      <c r="C22" t="inlineStr">
        <is>
          <t>Move-In Fees</t>
        </is>
      </c>
      <c r="D22" t="n">
        <v>725</v>
      </c>
    </row>
    <row r="23">
      <c r="A23" s="1" t="n">
        <v>45505</v>
      </c>
      <c r="B23" t="inlineStr"/>
      <c r="C23" t="inlineStr">
        <is>
          <t>NET CASH FLOW</t>
        </is>
      </c>
      <c r="D23" t="n">
        <v>61275.07999999999</v>
      </c>
    </row>
    <row r="24">
      <c r="A24" s="1" t="n">
        <v>45505</v>
      </c>
      <c r="B24" t="inlineStr"/>
      <c r="C24" t="inlineStr">
        <is>
          <t>NET OPERATING INCOME (NOI)</t>
        </is>
      </c>
      <c r="D24" t="n">
        <v>101862.73</v>
      </c>
    </row>
    <row r="25">
      <c r="A25" s="1" t="n">
        <v>45505</v>
      </c>
      <c r="B25" t="inlineStr"/>
      <c r="C25" t="inlineStr">
        <is>
          <t>Payroll</t>
        </is>
      </c>
      <c r="D25" t="n">
        <v>2640</v>
      </c>
    </row>
    <row r="26">
      <c r="A26" s="1" t="n">
        <v>45505</v>
      </c>
      <c r="B26" t="inlineStr"/>
      <c r="C26" t="inlineStr">
        <is>
          <t>Property Insurance</t>
        </is>
      </c>
      <c r="D26" t="n">
        <v>11948</v>
      </c>
    </row>
    <row r="27">
      <c r="A27" s="1" t="n">
        <v>45505</v>
      </c>
      <c r="B27" t="inlineStr"/>
      <c r="C27" t="inlineStr">
        <is>
          <t>Real Estate Taxes</t>
        </is>
      </c>
      <c r="D27" t="n">
        <v>19833.33</v>
      </c>
    </row>
    <row r="28">
      <c r="A28" s="1" t="n">
        <v>45505</v>
      </c>
      <c r="B28" t="inlineStr"/>
      <c r="C28" t="inlineStr">
        <is>
          <t>Supplies</t>
        </is>
      </c>
      <c r="D28" t="n">
        <v>6979.9</v>
      </c>
    </row>
    <row r="29">
      <c r="A29" s="1" t="n">
        <v>45505</v>
      </c>
      <c r="B29" t="inlineStr"/>
      <c r="C29" t="inlineStr">
        <is>
          <t>Total Capital Expenditures</t>
        </is>
      </c>
      <c r="D29" t="n">
        <v>6979.9</v>
      </c>
    </row>
    <row r="30">
      <c r="A30" s="1" t="n">
        <v>45505</v>
      </c>
      <c r="B30" t="inlineStr"/>
      <c r="C30" t="inlineStr">
        <is>
          <t>Total Debt Service</t>
        </is>
      </c>
      <c r="D30" t="n">
        <v>33607.75</v>
      </c>
    </row>
    <row r="31">
      <c r="A31" s="1" t="n">
        <v>45505</v>
      </c>
      <c r="B31" t="inlineStr"/>
      <c r="C31" t="inlineStr">
        <is>
          <t>Total Operating Expenses</t>
        </is>
      </c>
      <c r="D31" t="n">
        <v>46240.77</v>
      </c>
    </row>
    <row r="32">
      <c r="A32" s="1" t="n">
        <v>45505</v>
      </c>
      <c r="B32" t="inlineStr"/>
      <c r="C32" t="inlineStr">
        <is>
          <t>Total Other Income</t>
        </is>
      </c>
      <c r="D32" t="n">
        <v>2324.37</v>
      </c>
    </row>
    <row r="33">
      <c r="A33" s="1" t="n">
        <v>45505</v>
      </c>
      <c r="B33" t="inlineStr"/>
      <c r="C33" t="inlineStr">
        <is>
          <t>Vacancy</t>
        </is>
      </c>
      <c r="D33" t="n">
        <v>-5506.46</v>
      </c>
    </row>
    <row r="34">
      <c r="A34" s="1" t="n">
        <v>45536</v>
      </c>
      <c r="B34" t="inlineStr"/>
      <c r="C34" t="inlineStr">
        <is>
          <t>Appliances</t>
        </is>
      </c>
      <c r="D34" t="n">
        <v>17076.59</v>
      </c>
    </row>
    <row r="35">
      <c r="A35" s="1" t="n">
        <v>45536</v>
      </c>
      <c r="B35" t="inlineStr"/>
      <c r="C35" t="inlineStr">
        <is>
          <t>Application Fees</t>
        </is>
      </c>
      <c r="D35" t="n">
        <v>50</v>
      </c>
    </row>
    <row r="36">
      <c r="A36" s="1" t="n">
        <v>45536</v>
      </c>
      <c r="B36" t="inlineStr"/>
      <c r="C36" t="inlineStr">
        <is>
          <t>Bank Fees</t>
        </is>
      </c>
      <c r="D36" t="n">
        <v>14</v>
      </c>
    </row>
    <row r="37">
      <c r="A37" s="1" t="n">
        <v>45536</v>
      </c>
      <c r="B37" t="inlineStr"/>
      <c r="C37" t="inlineStr">
        <is>
          <t>CASH FLOW AFTER DEBT SERVICE</t>
        </is>
      </c>
      <c r="D37" t="n">
        <v>88696.14999999998</v>
      </c>
    </row>
    <row r="38">
      <c r="A38" s="1" t="n">
        <v>45536</v>
      </c>
      <c r="B38" t="inlineStr"/>
      <c r="C38" t="inlineStr">
        <is>
          <t>Cap Rate</t>
        </is>
      </c>
      <c r="D38" t="n">
        <v>0.08869614999999999</v>
      </c>
    </row>
    <row r="39">
      <c r="A39" s="1" t="n">
        <v>45536</v>
      </c>
      <c r="B39" t="inlineStr"/>
      <c r="C39" t="inlineStr">
        <is>
          <t>Cash-on-Cash (Ann.)</t>
        </is>
      </c>
      <c r="D39" t="n">
        <v>0.1529217092511013</v>
      </c>
    </row>
    <row r="40">
      <c r="A40" s="1" t="n">
        <v>45536</v>
      </c>
      <c r="B40" t="inlineStr"/>
      <c r="C40" t="inlineStr">
        <is>
          <t>Cash-on-Cash (CFADS)</t>
        </is>
      </c>
      <c r="D40" t="n">
        <v>0.2344391629955947</v>
      </c>
    </row>
    <row r="41">
      <c r="A41" s="1" t="n">
        <v>45536</v>
      </c>
      <c r="B41" t="inlineStr"/>
      <c r="C41" t="inlineStr">
        <is>
          <t>Cleaning &amp; Maint</t>
        </is>
      </c>
      <c r="D41" t="n">
        <v>425</v>
      </c>
    </row>
    <row r="42">
      <c r="A42" s="1" t="n">
        <v>45536</v>
      </c>
      <c r="B42" t="inlineStr"/>
      <c r="C42" t="inlineStr">
        <is>
          <t>Common Area Cleaning</t>
        </is>
      </c>
      <c r="D42" t="n">
        <v>1300</v>
      </c>
    </row>
    <row r="43">
      <c r="A43" s="1" t="n">
        <v>45536</v>
      </c>
      <c r="B43" t="inlineStr"/>
      <c r="C43" t="inlineStr">
        <is>
          <t>DSCR</t>
        </is>
      </c>
      <c r="D43" t="n">
        <v>0</v>
      </c>
    </row>
    <row r="44">
      <c r="A44" s="1" t="n">
        <v>45536</v>
      </c>
      <c r="B44" t="inlineStr"/>
      <c r="C44" t="inlineStr">
        <is>
          <t>Delinquency</t>
        </is>
      </c>
      <c r="D44" t="n">
        <v>156.21</v>
      </c>
    </row>
    <row r="45">
      <c r="A45" s="1" t="n">
        <v>45536</v>
      </c>
      <c r="B45" t="inlineStr"/>
      <c r="C45" t="inlineStr">
        <is>
          <t>EFFECTIVE GROSS INCOME (EGI)</t>
        </is>
      </c>
      <c r="D45" t="n">
        <v>147772.08</v>
      </c>
    </row>
    <row r="46">
      <c r="A46" s="1" t="n">
        <v>45536</v>
      </c>
      <c r="B46" t="inlineStr"/>
      <c r="C46" t="inlineStr">
        <is>
          <t>Effective Rental Income</t>
        </is>
      </c>
      <c r="D46" t="n">
        <v>144206.21</v>
      </c>
    </row>
    <row r="47">
      <c r="A47" s="1" t="n">
        <v>45536</v>
      </c>
      <c r="B47" t="inlineStr"/>
      <c r="C47" t="inlineStr">
        <is>
          <t>Electricity</t>
        </is>
      </c>
      <c r="D47" t="n">
        <v>445.71</v>
      </c>
    </row>
    <row r="48">
      <c r="A48" s="1" t="n">
        <v>45536</v>
      </c>
      <c r="B48" t="inlineStr"/>
      <c r="C48" t="inlineStr">
        <is>
          <t>Equipment/Tools</t>
        </is>
      </c>
      <c r="D48" t="n">
        <v>1519.35</v>
      </c>
    </row>
    <row r="49">
      <c r="A49" s="1" t="n">
        <v>45536</v>
      </c>
      <c r="B49" t="inlineStr"/>
      <c r="C49" t="inlineStr">
        <is>
          <t>Expense Ratio</t>
        </is>
      </c>
      <c r="D49" t="n">
        <v>0.3997773463024951</v>
      </c>
    </row>
    <row r="50">
      <c r="A50" s="1" t="n">
        <v>45536</v>
      </c>
      <c r="B50" t="inlineStr"/>
      <c r="C50" t="inlineStr">
        <is>
          <t>Garbage &amp; Recycling</t>
        </is>
      </c>
      <c r="D50" t="n">
        <v>1379.03</v>
      </c>
    </row>
    <row r="51">
      <c r="A51" s="1" t="n">
        <v>45536</v>
      </c>
      <c r="B51" t="inlineStr"/>
      <c r="C51" t="inlineStr">
        <is>
          <t>Gas</t>
        </is>
      </c>
      <c r="D51" t="n">
        <v>40</v>
      </c>
    </row>
    <row r="52">
      <c r="A52" s="1" t="n">
        <v>45536</v>
      </c>
      <c r="B52" t="inlineStr"/>
      <c r="C52" t="inlineStr">
        <is>
          <t>General Maint. Labor</t>
        </is>
      </c>
      <c r="D52" t="n">
        <v>8285.57</v>
      </c>
    </row>
    <row r="53">
      <c r="A53" s="1" t="n">
        <v>45536</v>
      </c>
      <c r="B53" t="inlineStr"/>
      <c r="C53" t="inlineStr">
        <is>
          <t>Gross Potential Rent</t>
        </is>
      </c>
      <c r="D53" t="n">
        <v>167200</v>
      </c>
    </row>
    <row r="54">
      <c r="A54" s="1" t="n">
        <v>45536</v>
      </c>
      <c r="B54" t="inlineStr"/>
      <c r="C54" t="inlineStr">
        <is>
          <t>Insurance Services</t>
        </is>
      </c>
      <c r="D54" t="n">
        <v>15</v>
      </c>
    </row>
    <row r="55">
      <c r="A55" s="1" t="n">
        <v>45536</v>
      </c>
      <c r="B55" t="inlineStr"/>
      <c r="C55" t="inlineStr">
        <is>
          <t>Interest Income</t>
        </is>
      </c>
      <c r="D55" t="n">
        <v>400.87</v>
      </c>
    </row>
    <row r="56">
      <c r="A56" s="1" t="n">
        <v>45536</v>
      </c>
      <c r="B56" t="inlineStr"/>
      <c r="C56" t="inlineStr">
        <is>
          <t>Key/Lock</t>
        </is>
      </c>
      <c r="D56" t="n">
        <v>1627.88</v>
      </c>
    </row>
    <row r="57">
      <c r="A57" s="1" t="n">
        <v>45536</v>
      </c>
      <c r="B57" t="inlineStr"/>
      <c r="C57" t="inlineStr">
        <is>
          <t>Labor</t>
        </is>
      </c>
      <c r="D57" t="n">
        <v>6000</v>
      </c>
    </row>
    <row r="58">
      <c r="A58" s="1" t="n">
        <v>45536</v>
      </c>
      <c r="B58" t="inlineStr"/>
      <c r="C58" t="inlineStr">
        <is>
          <t>Late Fees</t>
        </is>
      </c>
      <c r="D58" t="n">
        <v>1585</v>
      </c>
    </row>
    <row r="59">
      <c r="A59" s="1" t="n">
        <v>45536</v>
      </c>
      <c r="B59" t="inlineStr"/>
      <c r="C59" t="inlineStr">
        <is>
          <t>Legal</t>
        </is>
      </c>
      <c r="D59" t="n">
        <v>57.26</v>
      </c>
    </row>
    <row r="60">
      <c r="A60" s="1" t="n">
        <v>45536</v>
      </c>
      <c r="B60" t="inlineStr"/>
      <c r="C60" t="inlineStr">
        <is>
          <t>Loss/Gain to Market</t>
        </is>
      </c>
      <c r="D60" t="n">
        <v>-19050</v>
      </c>
    </row>
    <row r="61">
      <c r="A61" s="1" t="n">
        <v>45536</v>
      </c>
      <c r="B61" t="inlineStr"/>
      <c r="C61" t="inlineStr">
        <is>
          <t>Management Fee (4%)</t>
        </is>
      </c>
      <c r="D61" t="n">
        <v>5590.83</v>
      </c>
    </row>
    <row r="62">
      <c r="A62" s="1" t="n">
        <v>45536</v>
      </c>
      <c r="B62" t="inlineStr"/>
      <c r="C62" t="inlineStr">
        <is>
          <t>Meals</t>
        </is>
      </c>
      <c r="D62" t="n">
        <v>26.66</v>
      </c>
    </row>
    <row r="63">
      <c r="A63" s="1" t="n">
        <v>45536</v>
      </c>
      <c r="B63" t="inlineStr"/>
      <c r="C63" t="inlineStr">
        <is>
          <t>Monthly Cash-on-Cash (Ann.)</t>
        </is>
      </c>
      <c r="D63" t="n">
        <v>0.23</v>
      </c>
    </row>
    <row r="64">
      <c r="A64" s="1" t="n">
        <v>45536</v>
      </c>
      <c r="B64" t="inlineStr"/>
      <c r="C64" t="inlineStr">
        <is>
          <t>Move-In Fees</t>
        </is>
      </c>
      <c r="D64" t="n">
        <v>1460</v>
      </c>
    </row>
    <row r="65">
      <c r="A65" s="1" t="n">
        <v>45536</v>
      </c>
      <c r="B65" t="inlineStr"/>
      <c r="C65" t="inlineStr">
        <is>
          <t>NET CASH FLOW</t>
        </is>
      </c>
      <c r="D65" t="n">
        <v>57855.37999999998</v>
      </c>
    </row>
    <row r="66">
      <c r="A66" s="1" t="n">
        <v>45536</v>
      </c>
      <c r="B66" t="inlineStr"/>
      <c r="C66" t="inlineStr">
        <is>
          <t>NET OPERATING INCOME (NOI)</t>
        </is>
      </c>
      <c r="D66" t="n">
        <v>88696.14999999998</v>
      </c>
    </row>
    <row r="67">
      <c r="A67" s="1" t="n">
        <v>45536</v>
      </c>
      <c r="B67" t="inlineStr"/>
      <c r="C67" t="inlineStr">
        <is>
          <t>NSF Fees</t>
        </is>
      </c>
      <c r="D67" t="n">
        <v>55</v>
      </c>
    </row>
    <row r="68">
      <c r="A68" s="1" t="n">
        <v>45536</v>
      </c>
      <c r="B68" t="inlineStr"/>
      <c r="C68" t="inlineStr">
        <is>
          <t>Payroll</t>
        </is>
      </c>
      <c r="D68" t="n">
        <v>2077.5</v>
      </c>
    </row>
    <row r="69">
      <c r="A69" s="1" t="n">
        <v>45536</v>
      </c>
      <c r="B69" t="inlineStr"/>
      <c r="C69" t="inlineStr">
        <is>
          <t>Property Insurance</t>
        </is>
      </c>
      <c r="D69" t="n">
        <v>11948</v>
      </c>
    </row>
    <row r="70">
      <c r="A70" s="1" t="n">
        <v>45536</v>
      </c>
      <c r="B70" t="inlineStr"/>
      <c r="C70" t="inlineStr">
        <is>
          <t>Real Estate Taxes</t>
        </is>
      </c>
      <c r="D70" t="n">
        <v>19833.33</v>
      </c>
    </row>
    <row r="71">
      <c r="A71" s="1" t="n">
        <v>45536</v>
      </c>
      <c r="B71" t="inlineStr"/>
      <c r="C71" t="inlineStr">
        <is>
          <t>Remodel</t>
        </is>
      </c>
      <c r="D71" t="n">
        <v>4735.71</v>
      </c>
    </row>
    <row r="72">
      <c r="A72" s="1" t="n">
        <v>45536</v>
      </c>
      <c r="B72" t="inlineStr"/>
      <c r="C72" t="inlineStr">
        <is>
          <t>Supplies</t>
        </is>
      </c>
      <c r="D72" t="n">
        <v>1509.12</v>
      </c>
    </row>
    <row r="73">
      <c r="A73" s="1" t="n">
        <v>45536</v>
      </c>
      <c r="B73" t="inlineStr"/>
      <c r="C73" t="inlineStr">
        <is>
          <t>Total Capital Expenditures</t>
        </is>
      </c>
      <c r="D73" t="n">
        <v>30840.77</v>
      </c>
    </row>
    <row r="74">
      <c r="A74" s="1" t="n">
        <v>45536</v>
      </c>
      <c r="B74" t="inlineStr"/>
      <c r="C74" t="inlineStr">
        <is>
          <t>Total Debt Service</t>
        </is>
      </c>
      <c r="D74" t="n">
        <v>0</v>
      </c>
    </row>
    <row r="75">
      <c r="A75" s="1" t="n">
        <v>45536</v>
      </c>
      <c r="B75" t="inlineStr"/>
      <c r="C75" t="inlineStr">
        <is>
          <t>Total Operating Expenses</t>
        </is>
      </c>
      <c r="D75" t="n">
        <v>59075.93000000001</v>
      </c>
    </row>
    <row r="76">
      <c r="A76" s="1" t="n">
        <v>45536</v>
      </c>
      <c r="B76" t="inlineStr"/>
      <c r="C76" t="inlineStr">
        <is>
          <t>Total Other Income</t>
        </is>
      </c>
      <c r="D76" t="n">
        <v>3565.87</v>
      </c>
    </row>
    <row r="77">
      <c r="A77" s="1" t="n">
        <v>45536</v>
      </c>
      <c r="B77" t="inlineStr"/>
      <c r="C77" t="inlineStr">
        <is>
          <t>Vacancy</t>
        </is>
      </c>
      <c r="D77" t="n">
        <v>-4100</v>
      </c>
    </row>
    <row r="78">
      <c r="A78" s="1" t="n">
        <v>45536</v>
      </c>
      <c r="B78" t="inlineStr"/>
      <c r="C78" t="inlineStr">
        <is>
          <t>Water</t>
        </is>
      </c>
      <c r="D78" t="n">
        <v>4516.04</v>
      </c>
    </row>
    <row r="79">
      <c r="A79" s="1" t="n">
        <v>45566</v>
      </c>
      <c r="B79" t="inlineStr"/>
      <c r="C79" t="inlineStr">
        <is>
          <t>Application Fees</t>
        </is>
      </c>
      <c r="D79" t="n">
        <v>100</v>
      </c>
    </row>
    <row r="80">
      <c r="A80" s="1" t="n">
        <v>45566</v>
      </c>
      <c r="B80" t="inlineStr"/>
      <c r="C80" t="inlineStr">
        <is>
          <t>Bank Fees</t>
        </is>
      </c>
      <c r="D80" t="n">
        <v>26</v>
      </c>
    </row>
    <row r="81">
      <c r="A81" s="1" t="n">
        <v>45566</v>
      </c>
      <c r="B81" t="inlineStr"/>
      <c r="C81" t="inlineStr">
        <is>
          <t>CASH FLOW AFTER DEBT SERVICE</t>
        </is>
      </c>
      <c r="D81" t="n">
        <v>37442.05999999998</v>
      </c>
    </row>
    <row r="82">
      <c r="A82" s="1" t="n">
        <v>45566</v>
      </c>
      <c r="B82" t="inlineStr"/>
      <c r="C82" t="inlineStr">
        <is>
          <t>Cap Rate</t>
        </is>
      </c>
      <c r="D82" t="n">
        <v>0.08760086999999997</v>
      </c>
    </row>
    <row r="83">
      <c r="A83" s="1" t="n">
        <v>45566</v>
      </c>
      <c r="B83" t="inlineStr"/>
      <c r="C83" t="inlineStr">
        <is>
          <t>Cash-on-Cash (Ann.)</t>
        </is>
      </c>
      <c r="D83" t="n">
        <v>0.08014839647577086</v>
      </c>
    </row>
    <row r="84">
      <c r="A84" s="1" t="n">
        <v>45566</v>
      </c>
      <c r="B84" t="inlineStr"/>
      <c r="C84" t="inlineStr">
        <is>
          <t>Cash-on-Cash (CFADS)</t>
        </is>
      </c>
      <c r="D84" t="n">
        <v>0.09896579735682813</v>
      </c>
    </row>
    <row r="85">
      <c r="A85" s="1" t="n">
        <v>45566</v>
      </c>
      <c r="B85" t="inlineStr"/>
      <c r="C85" t="inlineStr">
        <is>
          <t>Cleaning &amp; Maint</t>
        </is>
      </c>
      <c r="D85" t="n">
        <v>390</v>
      </c>
    </row>
    <row r="86">
      <c r="A86" s="1" t="n">
        <v>45566</v>
      </c>
      <c r="B86" t="inlineStr"/>
      <c r="C86" t="inlineStr">
        <is>
          <t>Common Area Cleaning</t>
        </is>
      </c>
      <c r="D86" t="n">
        <v>1300</v>
      </c>
    </row>
    <row r="87">
      <c r="A87" s="1" t="n">
        <v>45566</v>
      </c>
      <c r="B87" t="inlineStr"/>
      <c r="C87" t="inlineStr">
        <is>
          <t>DSCR</t>
        </is>
      </c>
      <c r="D87" t="n">
        <v>1.746470261156514</v>
      </c>
    </row>
    <row r="88">
      <c r="A88" s="1" t="n">
        <v>45566</v>
      </c>
      <c r="B88" t="inlineStr"/>
      <c r="C88" t="inlineStr">
        <is>
          <t>Delinquency</t>
        </is>
      </c>
      <c r="D88" t="n">
        <v>1193.83</v>
      </c>
    </row>
    <row r="89">
      <c r="A89" s="1" t="n">
        <v>45566</v>
      </c>
      <c r="B89" t="inlineStr"/>
      <c r="C89" t="inlineStr">
        <is>
          <t>EFFECTIVE GROSS INCOME (EGI)</t>
        </is>
      </c>
      <c r="D89" t="n">
        <v>154633.15</v>
      </c>
    </row>
    <row r="90">
      <c r="A90" s="1" t="n">
        <v>45566</v>
      </c>
      <c r="B90" t="inlineStr"/>
      <c r="C90" t="inlineStr">
        <is>
          <t>Effective Rental Income</t>
        </is>
      </c>
      <c r="D90" t="n">
        <v>150908.83</v>
      </c>
    </row>
    <row r="91">
      <c r="A91" s="1" t="n">
        <v>45566</v>
      </c>
      <c r="B91" t="inlineStr"/>
      <c r="C91" t="inlineStr">
        <is>
          <t>Electricity</t>
        </is>
      </c>
      <c r="D91" t="n">
        <v>3201.32</v>
      </c>
    </row>
    <row r="92">
      <c r="A92" s="1" t="n">
        <v>45566</v>
      </c>
      <c r="B92" t="inlineStr"/>
      <c r="C92" t="inlineStr">
        <is>
          <t>Equipment/Tools</t>
        </is>
      </c>
      <c r="D92" t="n">
        <v>3098.88</v>
      </c>
    </row>
    <row r="93">
      <c r="A93" s="1" t="n">
        <v>45566</v>
      </c>
      <c r="B93" t="inlineStr"/>
      <c r="C93" t="inlineStr">
        <is>
          <t>Expense Ratio</t>
        </is>
      </c>
      <c r="D93" t="n">
        <v>0.433492300971687</v>
      </c>
    </row>
    <row r="94">
      <c r="A94" s="1" t="n">
        <v>45566</v>
      </c>
      <c r="B94" t="inlineStr"/>
      <c r="C94" t="inlineStr">
        <is>
          <t>Garbage &amp; Recycling</t>
        </is>
      </c>
      <c r="D94" t="n">
        <v>1524.33</v>
      </c>
    </row>
    <row r="95">
      <c r="A95" s="1" t="n">
        <v>45566</v>
      </c>
      <c r="B95" t="inlineStr"/>
      <c r="C95" t="inlineStr">
        <is>
          <t>Gas</t>
        </is>
      </c>
      <c r="D95" t="n">
        <v>3426.05</v>
      </c>
    </row>
    <row r="96">
      <c r="A96" s="1" t="n">
        <v>45566</v>
      </c>
      <c r="B96" t="inlineStr"/>
      <c r="C96" t="inlineStr">
        <is>
          <t>General Maint. Labor</t>
        </is>
      </c>
      <c r="D96" t="n">
        <v>8580.799999999999</v>
      </c>
    </row>
    <row r="97">
      <c r="A97" s="1" t="n">
        <v>45566</v>
      </c>
      <c r="B97" t="inlineStr"/>
      <c r="C97" t="inlineStr">
        <is>
          <t>Gross Potential Rent</t>
        </is>
      </c>
      <c r="D97" t="n">
        <v>167200</v>
      </c>
    </row>
    <row r="98">
      <c r="A98" s="1" t="n">
        <v>45566</v>
      </c>
      <c r="B98" t="inlineStr"/>
      <c r="C98" t="inlineStr">
        <is>
          <t>Insurance Services</t>
        </is>
      </c>
      <c r="D98" t="n">
        <v>19.5</v>
      </c>
    </row>
    <row r="99">
      <c r="A99" s="1" t="n">
        <v>45566</v>
      </c>
      <c r="B99" t="inlineStr"/>
      <c r="C99" t="inlineStr">
        <is>
          <t>Interest</t>
        </is>
      </c>
      <c r="D99" t="n">
        <v>40329.3</v>
      </c>
    </row>
    <row r="100">
      <c r="A100" s="1" t="n">
        <v>45566</v>
      </c>
      <c r="B100" t="inlineStr"/>
      <c r="C100" t="inlineStr">
        <is>
          <t>Interest Income</t>
        </is>
      </c>
      <c r="D100" t="n">
        <v>504.82</v>
      </c>
    </row>
    <row r="101">
      <c r="A101" s="1" t="n">
        <v>45566</v>
      </c>
      <c r="B101" t="inlineStr"/>
      <c r="C101" t="inlineStr">
        <is>
          <t>Key/Lock</t>
        </is>
      </c>
      <c r="D101" t="n">
        <v>-75</v>
      </c>
    </row>
    <row r="102">
      <c r="A102" s="1" t="n">
        <v>45566</v>
      </c>
      <c r="B102" t="inlineStr"/>
      <c r="C102" t="inlineStr">
        <is>
          <t>Landscaping</t>
        </is>
      </c>
      <c r="D102" t="n">
        <v>1050</v>
      </c>
    </row>
    <row r="103">
      <c r="A103" s="1" t="n">
        <v>45566</v>
      </c>
      <c r="B103" t="inlineStr"/>
      <c r="C103" t="inlineStr">
        <is>
          <t>Late Fees</t>
        </is>
      </c>
      <c r="D103" t="n">
        <v>1420</v>
      </c>
    </row>
    <row r="104">
      <c r="A104" s="1" t="n">
        <v>45566</v>
      </c>
      <c r="B104" t="inlineStr"/>
      <c r="C104" t="inlineStr">
        <is>
          <t>Loss/Gain to Market</t>
        </is>
      </c>
      <c r="D104" t="n">
        <v>-16185</v>
      </c>
    </row>
    <row r="105">
      <c r="A105" s="1" t="n">
        <v>45566</v>
      </c>
      <c r="B105" t="inlineStr"/>
      <c r="C105" t="inlineStr">
        <is>
          <t>Management Fee (4%)</t>
        </is>
      </c>
      <c r="D105" t="n">
        <v>5768.24</v>
      </c>
    </row>
    <row r="106">
      <c r="A106" s="1" t="n">
        <v>45566</v>
      </c>
      <c r="B106" t="inlineStr"/>
      <c r="C106" t="inlineStr">
        <is>
          <t>Monthly Cash-on-Cash (Ann.)</t>
        </is>
      </c>
      <c r="D106" t="n">
        <v>0.1</v>
      </c>
    </row>
    <row r="107">
      <c r="A107" s="1" t="n">
        <v>45566</v>
      </c>
      <c r="B107" t="inlineStr"/>
      <c r="C107" t="inlineStr">
        <is>
          <t>Move-In Fees</t>
        </is>
      </c>
      <c r="D107" t="n">
        <v>1515</v>
      </c>
    </row>
    <row r="108">
      <c r="A108" s="1" t="n">
        <v>45566</v>
      </c>
      <c r="B108" t="inlineStr"/>
      <c r="C108" t="inlineStr">
        <is>
          <t>NET CASH FLOW</t>
        </is>
      </c>
      <c r="D108" t="n">
        <v>30322.80999999998</v>
      </c>
    </row>
    <row r="109">
      <c r="A109" s="1" t="n">
        <v>45566</v>
      </c>
      <c r="B109" t="inlineStr"/>
      <c r="C109" t="inlineStr">
        <is>
          <t>NET OPERATING INCOME (NOI)</t>
        </is>
      </c>
      <c r="D109" t="n">
        <v>87600.86999999998</v>
      </c>
    </row>
    <row r="110">
      <c r="A110" s="1" t="n">
        <v>45566</v>
      </c>
      <c r="B110" t="inlineStr"/>
      <c r="C110" t="inlineStr">
        <is>
          <t>NSF Fees</t>
        </is>
      </c>
      <c r="D110" t="n">
        <v>165</v>
      </c>
    </row>
    <row r="111">
      <c r="A111" s="1" t="n">
        <v>45566</v>
      </c>
      <c r="B111" t="inlineStr"/>
      <c r="C111" t="inlineStr">
        <is>
          <t>Payroll</t>
        </is>
      </c>
      <c r="D111" t="n">
        <v>2340</v>
      </c>
    </row>
    <row r="112">
      <c r="A112" s="1" t="n">
        <v>45566</v>
      </c>
      <c r="B112" t="inlineStr"/>
      <c r="C112" t="inlineStr">
        <is>
          <t>Pest Control</t>
        </is>
      </c>
      <c r="D112" t="n">
        <v>955.02</v>
      </c>
    </row>
    <row r="113">
      <c r="A113" s="1" t="n">
        <v>45566</v>
      </c>
      <c r="B113" t="inlineStr"/>
      <c r="C113" t="inlineStr">
        <is>
          <t>Principal</t>
        </is>
      </c>
      <c r="D113" t="n">
        <v>9829.51</v>
      </c>
    </row>
    <row r="114">
      <c r="A114" s="1" t="n">
        <v>45566</v>
      </c>
      <c r="B114" t="inlineStr"/>
      <c r="C114" t="inlineStr">
        <is>
          <t>Professional - Other</t>
        </is>
      </c>
      <c r="D114" t="n">
        <v>302</v>
      </c>
    </row>
    <row r="115">
      <c r="A115" s="1" t="n">
        <v>45566</v>
      </c>
      <c r="B115" t="inlineStr"/>
      <c r="C115" t="inlineStr">
        <is>
          <t>Property Insurance</t>
        </is>
      </c>
      <c r="D115" t="n">
        <v>11948</v>
      </c>
    </row>
    <row r="116">
      <c r="A116" s="1" t="n">
        <v>45566</v>
      </c>
      <c r="B116" t="inlineStr"/>
      <c r="C116" t="inlineStr">
        <is>
          <t>Real Estate Taxes</t>
        </is>
      </c>
      <c r="D116" t="n">
        <v>19833.33</v>
      </c>
    </row>
    <row r="117">
      <c r="A117" s="1" t="n">
        <v>45566</v>
      </c>
      <c r="B117" t="inlineStr"/>
      <c r="C117" t="inlineStr">
        <is>
          <t>Security Service</t>
        </is>
      </c>
      <c r="D117" t="n">
        <v>2441.82</v>
      </c>
    </row>
    <row r="118">
      <c r="A118" s="1" t="n">
        <v>45566</v>
      </c>
      <c r="B118" t="inlineStr"/>
      <c r="C118" t="inlineStr">
        <is>
          <t>Supplies</t>
        </is>
      </c>
      <c r="D118" t="n">
        <v>4020.37</v>
      </c>
    </row>
    <row r="119">
      <c r="A119" s="1" t="n">
        <v>45566</v>
      </c>
      <c r="B119" t="inlineStr"/>
      <c r="C119" t="inlineStr">
        <is>
          <t>Total Capital Expenditures</t>
        </is>
      </c>
      <c r="D119" t="n">
        <v>7119.25</v>
      </c>
    </row>
    <row r="120">
      <c r="A120" s="1" t="n">
        <v>45566</v>
      </c>
      <c r="B120" t="inlineStr"/>
      <c r="C120" t="inlineStr">
        <is>
          <t>Total Debt Service</t>
        </is>
      </c>
      <c r="D120" t="n">
        <v>50158.81</v>
      </c>
    </row>
    <row r="121">
      <c r="A121" s="1" t="n">
        <v>45566</v>
      </c>
      <c r="B121" t="inlineStr"/>
      <c r="C121" t="inlineStr">
        <is>
          <t>Total Operating Expenses</t>
        </is>
      </c>
      <c r="D121" t="n">
        <v>67032.28000000001</v>
      </c>
    </row>
    <row r="122">
      <c r="A122" s="1" t="n">
        <v>45566</v>
      </c>
      <c r="B122" t="inlineStr"/>
      <c r="C122" t="inlineStr">
        <is>
          <t>Total Other Income</t>
        </is>
      </c>
      <c r="D122" t="n">
        <v>3724.32</v>
      </c>
    </row>
    <row r="123">
      <c r="A123" s="1" t="n">
        <v>45566</v>
      </c>
      <c r="B123" t="inlineStr"/>
      <c r="C123" t="inlineStr">
        <is>
          <t>Vacancy</t>
        </is>
      </c>
      <c r="D123" t="n">
        <v>-1300</v>
      </c>
    </row>
    <row r="124">
      <c r="A124" s="1" t="n">
        <v>45597</v>
      </c>
      <c r="B124" t="inlineStr"/>
      <c r="C124" t="inlineStr">
        <is>
          <t>Accounting</t>
        </is>
      </c>
      <c r="D124" t="n">
        <v>1251.25</v>
      </c>
    </row>
    <row r="125">
      <c r="A125" s="1" t="n">
        <v>45597</v>
      </c>
      <c r="B125" t="inlineStr"/>
      <c r="C125" t="inlineStr">
        <is>
          <t>Application Fees</t>
        </is>
      </c>
      <c r="D125" t="n">
        <v>250</v>
      </c>
    </row>
    <row r="126">
      <c r="A126" s="1" t="n">
        <v>45597</v>
      </c>
      <c r="B126" t="inlineStr"/>
      <c r="C126" t="inlineStr">
        <is>
          <t>Bank Fees</t>
        </is>
      </c>
      <c r="D126" t="n">
        <v>25</v>
      </c>
    </row>
    <row r="127">
      <c r="A127" s="1" t="n">
        <v>45597</v>
      </c>
      <c r="B127" t="inlineStr"/>
      <c r="C127" t="inlineStr">
        <is>
          <t>CASH FLOW AFTER DEBT SERVICE</t>
        </is>
      </c>
      <c r="D127" t="n">
        <v>13109.26000000004</v>
      </c>
    </row>
    <row r="128">
      <c r="A128" s="1" t="n">
        <v>45597</v>
      </c>
      <c r="B128" t="inlineStr"/>
      <c r="C128" t="inlineStr">
        <is>
          <t>Cap Rate</t>
        </is>
      </c>
      <c r="D128" t="n">
        <v>0.06464960000000003</v>
      </c>
    </row>
    <row r="129">
      <c r="A129" s="1" t="n">
        <v>45597</v>
      </c>
      <c r="B129" t="inlineStr"/>
      <c r="C129" t="inlineStr">
        <is>
          <t>Carpet Cleaning</t>
        </is>
      </c>
      <c r="D129" t="n">
        <v>109.55</v>
      </c>
    </row>
    <row r="130">
      <c r="A130" s="1" t="n">
        <v>45597</v>
      </c>
      <c r="B130" t="inlineStr"/>
      <c r="C130" t="inlineStr">
        <is>
          <t>Cash-on-Cash (Ann.)</t>
        </is>
      </c>
      <c r="D130" t="n">
        <v>0.01577035242290759</v>
      </c>
    </row>
    <row r="131">
      <c r="A131" s="1" t="n">
        <v>45597</v>
      </c>
      <c r="B131" t="inlineStr"/>
      <c r="C131" t="inlineStr">
        <is>
          <t>Cash-on-Cash (CFADS)</t>
        </is>
      </c>
      <c r="D131" t="n">
        <v>0.03465002643171816</v>
      </c>
    </row>
    <row r="132">
      <c r="A132" s="1" t="n">
        <v>45597</v>
      </c>
      <c r="B132" t="inlineStr"/>
      <c r="C132" t="inlineStr">
        <is>
          <t>Cleaning &amp; Maint</t>
        </is>
      </c>
      <c r="D132" t="n">
        <v>242.54</v>
      </c>
    </row>
    <row r="133">
      <c r="A133" s="1" t="n">
        <v>45597</v>
      </c>
      <c r="B133" t="inlineStr"/>
      <c r="C133" t="inlineStr">
        <is>
          <t>Common Area Cleaning</t>
        </is>
      </c>
      <c r="D133" t="n">
        <v>1300</v>
      </c>
    </row>
    <row r="134">
      <c r="A134" s="1" t="n">
        <v>45597</v>
      </c>
      <c r="B134" t="inlineStr"/>
      <c r="C134" t="inlineStr">
        <is>
          <t>DSCR</t>
        </is>
      </c>
      <c r="D134" t="n">
        <v>1.254349505649362</v>
      </c>
    </row>
    <row r="135">
      <c r="A135" s="1" t="n">
        <v>45597</v>
      </c>
      <c r="B135" t="inlineStr"/>
      <c r="C135" t="inlineStr">
        <is>
          <t>Delinquency</t>
        </is>
      </c>
      <c r="D135" t="n">
        <v>-4799.3</v>
      </c>
    </row>
    <row r="136">
      <c r="A136" s="1" t="n">
        <v>45597</v>
      </c>
      <c r="B136" t="inlineStr"/>
      <c r="C136" t="inlineStr">
        <is>
          <t>EFFECTIVE GROSS INCOME (EGI)</t>
        </is>
      </c>
      <c r="D136" t="n">
        <v>150354.55</v>
      </c>
    </row>
    <row r="137">
      <c r="A137" s="1" t="n">
        <v>45597</v>
      </c>
      <c r="B137" t="inlineStr"/>
      <c r="C137" t="inlineStr">
        <is>
          <t>Effective Rental Income</t>
        </is>
      </c>
      <c r="D137" t="n">
        <v>145210.7</v>
      </c>
    </row>
    <row r="138">
      <c r="A138" s="1" t="n">
        <v>45597</v>
      </c>
      <c r="B138" t="inlineStr"/>
      <c r="C138" t="inlineStr">
        <is>
          <t>Electricity</t>
        </is>
      </c>
      <c r="D138" t="n">
        <v>208.65</v>
      </c>
    </row>
    <row r="139">
      <c r="A139" s="1" t="n">
        <v>45597</v>
      </c>
      <c r="B139" t="inlineStr"/>
      <c r="C139" t="inlineStr">
        <is>
          <t>Expense Ratio</t>
        </is>
      </c>
      <c r="D139" t="n">
        <v>0.5700189984273836</v>
      </c>
    </row>
    <row r="140">
      <c r="A140" s="1" t="n">
        <v>45597</v>
      </c>
      <c r="B140" t="inlineStr"/>
      <c r="C140" t="inlineStr">
        <is>
          <t>Flooring</t>
        </is>
      </c>
      <c r="D140" t="n">
        <v>1400</v>
      </c>
    </row>
    <row r="141">
      <c r="A141" s="1" t="n">
        <v>45597</v>
      </c>
      <c r="B141" t="inlineStr"/>
      <c r="C141" t="inlineStr">
        <is>
          <t>Garbage &amp; Recycling</t>
        </is>
      </c>
      <c r="D141" t="n">
        <v>2565.2</v>
      </c>
    </row>
    <row r="142">
      <c r="A142" s="1" t="n">
        <v>45597</v>
      </c>
      <c r="B142" t="inlineStr"/>
      <c r="C142" t="inlineStr">
        <is>
          <t>Gas</t>
        </is>
      </c>
      <c r="D142" t="n">
        <v>3845.39</v>
      </c>
    </row>
    <row r="143">
      <c r="A143" s="1" t="n">
        <v>45597</v>
      </c>
      <c r="B143" t="inlineStr"/>
      <c r="C143" t="inlineStr">
        <is>
          <t>General Maint. Labor</t>
        </is>
      </c>
      <c r="D143" t="n">
        <v>7014.8</v>
      </c>
    </row>
    <row r="144">
      <c r="A144" s="1" t="n">
        <v>45597</v>
      </c>
      <c r="B144" t="inlineStr"/>
      <c r="C144" t="inlineStr">
        <is>
          <t>Gross Potential Rent</t>
        </is>
      </c>
      <c r="D144" t="n">
        <v>167200</v>
      </c>
    </row>
    <row r="145">
      <c r="A145" s="1" t="n">
        <v>45597</v>
      </c>
      <c r="B145" t="inlineStr"/>
      <c r="C145" t="inlineStr">
        <is>
          <t>HVAC</t>
        </is>
      </c>
      <c r="D145" t="n">
        <v>1373</v>
      </c>
    </row>
    <row r="146">
      <c r="A146" s="1" t="n">
        <v>45597</v>
      </c>
      <c r="B146" t="inlineStr"/>
      <c r="C146" t="inlineStr">
        <is>
          <t>Insurance Services</t>
        </is>
      </c>
      <c r="D146" t="n">
        <v>-19.5</v>
      </c>
    </row>
    <row r="147">
      <c r="A147" s="1" t="n">
        <v>45597</v>
      </c>
      <c r="B147" t="inlineStr"/>
      <c r="C147" t="inlineStr">
        <is>
          <t>Interest</t>
        </is>
      </c>
      <c r="D147" t="n">
        <v>41627.52</v>
      </c>
    </row>
    <row r="148">
      <c r="A148" s="1" t="n">
        <v>45597</v>
      </c>
      <c r="B148" t="inlineStr"/>
      <c r="C148" t="inlineStr">
        <is>
          <t>Interest Income</t>
        </is>
      </c>
      <c r="D148" t="n">
        <v>566.99</v>
      </c>
    </row>
    <row r="149">
      <c r="A149" s="1" t="n">
        <v>45597</v>
      </c>
      <c r="B149" t="inlineStr"/>
      <c r="C149" t="inlineStr">
        <is>
          <t>Internet</t>
        </is>
      </c>
      <c r="D149" t="n">
        <v>1315.09</v>
      </c>
    </row>
    <row r="150">
      <c r="A150" s="1" t="n">
        <v>45597</v>
      </c>
      <c r="B150" t="inlineStr"/>
      <c r="C150" t="inlineStr">
        <is>
          <t>Internet Charges</t>
        </is>
      </c>
      <c r="D150" t="n">
        <v>556.36</v>
      </c>
    </row>
    <row r="151">
      <c r="A151" s="1" t="n">
        <v>45597</v>
      </c>
      <c r="B151" t="inlineStr"/>
      <c r="C151" t="inlineStr">
        <is>
          <t>Landscaping</t>
        </is>
      </c>
      <c r="D151" t="n">
        <v>1704</v>
      </c>
    </row>
    <row r="152">
      <c r="A152" s="1" t="n">
        <v>45597</v>
      </c>
      <c r="B152" t="inlineStr"/>
      <c r="C152" t="inlineStr">
        <is>
          <t>Late Fees</t>
        </is>
      </c>
      <c r="D152" t="n">
        <v>1485</v>
      </c>
    </row>
    <row r="153">
      <c r="A153" s="1" t="n">
        <v>45597</v>
      </c>
      <c r="B153" t="inlineStr"/>
      <c r="C153" t="inlineStr">
        <is>
          <t>Loss/Gain to Market</t>
        </is>
      </c>
      <c r="D153" t="n">
        <v>-15520</v>
      </c>
    </row>
    <row r="154">
      <c r="A154" s="1" t="n">
        <v>45597</v>
      </c>
      <c r="B154" t="inlineStr"/>
      <c r="C154" t="inlineStr">
        <is>
          <t>Management Fee (4%)</t>
        </is>
      </c>
      <c r="D154" t="n">
        <v>6187.35</v>
      </c>
    </row>
    <row r="155">
      <c r="A155" s="1" t="n">
        <v>45597</v>
      </c>
      <c r="B155" t="inlineStr"/>
      <c r="C155" t="inlineStr">
        <is>
          <t>Meals</t>
        </is>
      </c>
      <c r="D155" t="n">
        <v>134.68</v>
      </c>
    </row>
    <row r="156">
      <c r="A156" s="1" t="n">
        <v>45597</v>
      </c>
      <c r="B156" t="inlineStr"/>
      <c r="C156" t="inlineStr">
        <is>
          <t>Monthly Cash-on-Cash (Ann.)</t>
        </is>
      </c>
      <c r="D156" t="n">
        <v>0.03</v>
      </c>
    </row>
    <row r="157">
      <c r="A157" s="1" t="n">
        <v>45597</v>
      </c>
      <c r="B157" t="inlineStr"/>
      <c r="C157" t="inlineStr">
        <is>
          <t>Move-In Fees</t>
        </is>
      </c>
      <c r="D157" t="n">
        <v>2250</v>
      </c>
    </row>
    <row r="158">
      <c r="A158" s="1" t="n">
        <v>45597</v>
      </c>
      <c r="B158" t="inlineStr"/>
      <c r="C158" t="inlineStr">
        <is>
          <t>NET CASH FLOW</t>
        </is>
      </c>
      <c r="D158" t="n">
        <v>5966.450000000038</v>
      </c>
    </row>
    <row r="159">
      <c r="A159" s="1" t="n">
        <v>45597</v>
      </c>
      <c r="B159" t="inlineStr"/>
      <c r="C159" t="inlineStr">
        <is>
          <t>NET OPERATING INCOME (NOI)</t>
        </is>
      </c>
      <c r="D159" t="n">
        <v>64649.60000000003</v>
      </c>
    </row>
    <row r="160">
      <c r="A160" s="1" t="n">
        <v>45597</v>
      </c>
      <c r="B160" t="inlineStr"/>
      <c r="C160" t="inlineStr">
        <is>
          <t>NSF Fees</t>
        </is>
      </c>
      <c r="D160" t="n">
        <v>55</v>
      </c>
    </row>
    <row r="161">
      <c r="A161" s="1" t="n">
        <v>45597</v>
      </c>
      <c r="B161" t="inlineStr"/>
      <c r="C161" t="inlineStr">
        <is>
          <t>Painting</t>
        </is>
      </c>
      <c r="D161" t="n">
        <v>600</v>
      </c>
    </row>
    <row r="162">
      <c r="A162" s="1" t="n">
        <v>45597</v>
      </c>
      <c r="B162" t="inlineStr"/>
      <c r="C162" t="inlineStr">
        <is>
          <t>Payroll</t>
        </is>
      </c>
      <c r="D162" t="n">
        <v>2340</v>
      </c>
    </row>
    <row r="163">
      <c r="A163" s="1" t="n">
        <v>45597</v>
      </c>
      <c r="B163" t="inlineStr"/>
      <c r="C163" t="inlineStr">
        <is>
          <t>Pest Control</t>
        </is>
      </c>
      <c r="D163" t="n">
        <v>271.31</v>
      </c>
    </row>
    <row r="164">
      <c r="A164" s="1" t="n">
        <v>45597</v>
      </c>
      <c r="B164" t="inlineStr"/>
      <c r="C164" t="inlineStr">
        <is>
          <t>Plumbing</t>
        </is>
      </c>
      <c r="D164" t="n">
        <v>15295</v>
      </c>
    </row>
    <row r="165">
      <c r="A165" s="1" t="n">
        <v>45597</v>
      </c>
      <c r="B165" t="inlineStr"/>
      <c r="C165" t="inlineStr">
        <is>
          <t>Principal</t>
        </is>
      </c>
      <c r="D165" t="n">
        <v>9912.82</v>
      </c>
    </row>
    <row r="166">
      <c r="A166" s="1" t="n">
        <v>45597</v>
      </c>
      <c r="B166" t="inlineStr"/>
      <c r="C166" t="inlineStr">
        <is>
          <t>Professional - Other</t>
        </is>
      </c>
      <c r="D166" t="n">
        <v>-1150</v>
      </c>
    </row>
    <row r="167">
      <c r="A167" s="1" t="n">
        <v>45597</v>
      </c>
      <c r="B167" t="inlineStr"/>
      <c r="C167" t="inlineStr">
        <is>
          <t>Property Insurance</t>
        </is>
      </c>
      <c r="D167" t="n">
        <v>13406</v>
      </c>
    </row>
    <row r="168">
      <c r="A168" s="1" t="n">
        <v>45597</v>
      </c>
      <c r="B168" t="inlineStr"/>
      <c r="C168" t="inlineStr">
        <is>
          <t>Real Estate Taxes</t>
        </is>
      </c>
      <c r="D168" t="n">
        <v>19833.33</v>
      </c>
    </row>
    <row r="169">
      <c r="A169" s="1" t="n">
        <v>45597</v>
      </c>
      <c r="B169" t="inlineStr"/>
      <c r="C169" t="inlineStr">
        <is>
          <t>Supplies</t>
        </is>
      </c>
      <c r="D169" t="n">
        <v>5742.81</v>
      </c>
    </row>
    <row r="170">
      <c r="A170" s="1" t="n">
        <v>45597</v>
      </c>
      <c r="B170" t="inlineStr"/>
      <c r="C170" t="inlineStr">
        <is>
          <t>Total Capital Expenditures</t>
        </is>
      </c>
      <c r="D170" t="n">
        <v>7142.81</v>
      </c>
    </row>
    <row r="171">
      <c r="A171" s="1" t="n">
        <v>45597</v>
      </c>
      <c r="B171" t="inlineStr"/>
      <c r="C171" t="inlineStr">
        <is>
          <t>Total Debt Service</t>
        </is>
      </c>
      <c r="D171" t="n">
        <v>51540.34</v>
      </c>
    </row>
    <row r="172">
      <c r="A172" s="1" t="n">
        <v>45597</v>
      </c>
      <c r="B172" t="inlineStr"/>
      <c r="C172" t="inlineStr">
        <is>
          <t>Total Operating Expenses</t>
        </is>
      </c>
      <c r="D172" t="n">
        <v>85704.94999999998</v>
      </c>
    </row>
    <row r="173">
      <c r="A173" s="1" t="n">
        <v>45597</v>
      </c>
      <c r="B173" t="inlineStr"/>
      <c r="C173" t="inlineStr">
        <is>
          <t>Total Other Income</t>
        </is>
      </c>
      <c r="D173" t="n">
        <v>5143.849999999999</v>
      </c>
    </row>
    <row r="174">
      <c r="A174" s="1" t="n">
        <v>45597</v>
      </c>
      <c r="B174" t="inlineStr"/>
      <c r="C174" t="inlineStr">
        <is>
          <t>Travel</t>
        </is>
      </c>
      <c r="D174" t="n">
        <v>690</v>
      </c>
    </row>
    <row r="175">
      <c r="A175" s="1" t="n">
        <v>45597</v>
      </c>
      <c r="B175" t="inlineStr"/>
      <c r="C175" t="inlineStr">
        <is>
          <t>Vacancy</t>
        </is>
      </c>
      <c r="D175" t="n">
        <v>-1670</v>
      </c>
    </row>
    <row r="176">
      <c r="A176" s="1" t="n">
        <v>45627</v>
      </c>
      <c r="B176" t="inlineStr"/>
      <c r="C176" t="inlineStr">
        <is>
          <t>Accounting</t>
        </is>
      </c>
      <c r="D176" t="n">
        <v>1244.55</v>
      </c>
    </row>
    <row r="177">
      <c r="A177" s="1" t="n">
        <v>45627</v>
      </c>
      <c r="B177" t="inlineStr"/>
      <c r="C177" t="inlineStr">
        <is>
          <t>Advertising</t>
        </is>
      </c>
      <c r="D177" t="n">
        <v>150</v>
      </c>
    </row>
    <row r="178">
      <c r="A178" s="1" t="n">
        <v>45627</v>
      </c>
      <c r="B178" t="inlineStr"/>
      <c r="C178" t="inlineStr">
        <is>
          <t>Appliances</t>
        </is>
      </c>
      <c r="D178" t="n">
        <v>14023.01</v>
      </c>
    </row>
    <row r="179">
      <c r="A179" s="1" t="n">
        <v>45627</v>
      </c>
      <c r="B179" t="inlineStr"/>
      <c r="C179" t="inlineStr">
        <is>
          <t>Bank Fees</t>
        </is>
      </c>
      <c r="D179" t="n">
        <v>14</v>
      </c>
    </row>
    <row r="180">
      <c r="A180" s="1" t="n">
        <v>45627</v>
      </c>
      <c r="B180" t="inlineStr"/>
      <c r="C180" t="inlineStr">
        <is>
          <t>CASH FLOW AFTER DEBT SERVICE</t>
        </is>
      </c>
      <c r="D180" t="n">
        <v>-11105.78</v>
      </c>
    </row>
    <row r="181">
      <c r="A181" s="1" t="n">
        <v>45627</v>
      </c>
      <c r="B181" t="inlineStr"/>
      <c r="C181" t="inlineStr">
        <is>
          <t>Cap Rate</t>
        </is>
      </c>
      <c r="D181" t="n">
        <v>0.03905930000000001</v>
      </c>
    </row>
    <row r="182">
      <c r="A182" s="1" t="n">
        <v>45627</v>
      </c>
      <c r="B182" t="inlineStr"/>
      <c r="C182" t="inlineStr">
        <is>
          <t>Cash-on-Cash (Ann.)</t>
        </is>
      </c>
      <c r="D182" t="n">
        <v>-0.09792896035242289</v>
      </c>
    </row>
    <row r="183">
      <c r="A183" s="1" t="n">
        <v>45627</v>
      </c>
      <c r="B183" t="inlineStr"/>
      <c r="C183" t="inlineStr">
        <is>
          <t>Cash-on-Cash (CFADS)</t>
        </is>
      </c>
      <c r="D183" t="n">
        <v>-0.02935448458149779</v>
      </c>
    </row>
    <row r="184">
      <c r="A184" s="1" t="n">
        <v>45627</v>
      </c>
      <c r="B184" t="inlineStr"/>
      <c r="C184" t="inlineStr">
        <is>
          <t>Cleaning &amp; Maint</t>
        </is>
      </c>
      <c r="D184" t="n">
        <v>3182.38</v>
      </c>
    </row>
    <row r="185">
      <c r="A185" s="1" t="n">
        <v>45627</v>
      </c>
      <c r="B185" t="inlineStr"/>
      <c r="C185" t="inlineStr">
        <is>
          <t>Concessions</t>
        </is>
      </c>
      <c r="D185" t="n">
        <v>-1730</v>
      </c>
    </row>
    <row r="186">
      <c r="A186" s="1" t="n">
        <v>45627</v>
      </c>
      <c r="B186" t="inlineStr"/>
      <c r="C186" t="inlineStr">
        <is>
          <t>DSCR</t>
        </is>
      </c>
      <c r="D186" t="n">
        <v>0.7786153236474457</v>
      </c>
    </row>
    <row r="187">
      <c r="A187" s="1" t="n">
        <v>45627</v>
      </c>
      <c r="B187" t="inlineStr"/>
      <c r="C187" t="inlineStr">
        <is>
          <t>Delinquency</t>
        </is>
      </c>
      <c r="D187" t="n">
        <v>-6129.5</v>
      </c>
    </row>
    <row r="188">
      <c r="A188" s="1" t="n">
        <v>45627</v>
      </c>
      <c r="B188" t="inlineStr"/>
      <c r="C188" t="inlineStr">
        <is>
          <t>EFFECTIVE GROSS INCOME (EGI)</t>
        </is>
      </c>
      <c r="D188" t="n">
        <v>144289.45</v>
      </c>
    </row>
    <row r="189">
      <c r="A189" s="1" t="n">
        <v>45627</v>
      </c>
      <c r="B189" t="inlineStr"/>
      <c r="C189" t="inlineStr">
        <is>
          <t>Effective Rental Income</t>
        </is>
      </c>
      <c r="D189" t="n">
        <v>140775.5</v>
      </c>
    </row>
    <row r="190">
      <c r="A190" s="1" t="n">
        <v>45627</v>
      </c>
      <c r="B190" t="inlineStr"/>
      <c r="C190" t="inlineStr">
        <is>
          <t>Electricity</t>
        </is>
      </c>
      <c r="D190" t="n">
        <v>791.6799999999999</v>
      </c>
    </row>
    <row r="191">
      <c r="A191" s="1" t="n">
        <v>45627</v>
      </c>
      <c r="B191" t="inlineStr"/>
      <c r="C191" t="inlineStr">
        <is>
          <t>Equipment/Tools</t>
        </is>
      </c>
      <c r="D191" t="n">
        <v>503.68</v>
      </c>
    </row>
    <row r="192">
      <c r="A192" s="1" t="n">
        <v>45627</v>
      </c>
      <c r="B192" t="inlineStr"/>
      <c r="C192" t="inlineStr">
        <is>
          <t>Expense Ratio</t>
        </is>
      </c>
      <c r="D192" t="n">
        <v>0.7292989889420189</v>
      </c>
    </row>
    <row r="193">
      <c r="A193" s="1" t="n">
        <v>45627</v>
      </c>
      <c r="B193" t="inlineStr"/>
      <c r="C193" t="inlineStr">
        <is>
          <t>Flooring</t>
        </is>
      </c>
      <c r="D193" t="n">
        <v>5526.62</v>
      </c>
    </row>
    <row r="194">
      <c r="A194" s="1" t="n">
        <v>45627</v>
      </c>
      <c r="B194" t="inlineStr"/>
      <c r="C194" t="inlineStr">
        <is>
          <t>Garbage &amp; Recycling</t>
        </is>
      </c>
      <c r="D194" t="n">
        <v>1661.03</v>
      </c>
    </row>
    <row r="195">
      <c r="A195" s="1" t="n">
        <v>45627</v>
      </c>
      <c r="B195" t="inlineStr"/>
      <c r="C195" t="inlineStr">
        <is>
          <t>Gas</t>
        </is>
      </c>
      <c r="D195" t="n">
        <v>6791.79</v>
      </c>
    </row>
    <row r="196">
      <c r="A196" s="1" t="n">
        <v>45627</v>
      </c>
      <c r="B196" t="inlineStr"/>
      <c r="C196" t="inlineStr">
        <is>
          <t>General Maint. Labor</t>
        </is>
      </c>
      <c r="D196" t="n">
        <v>13440</v>
      </c>
    </row>
    <row r="197">
      <c r="A197" s="1" t="n">
        <v>45627</v>
      </c>
      <c r="B197" t="inlineStr"/>
      <c r="C197" t="inlineStr">
        <is>
          <t>Gross Potential Rent</t>
        </is>
      </c>
      <c r="D197" t="n">
        <v>167200</v>
      </c>
    </row>
    <row r="198">
      <c r="A198" s="1" t="n">
        <v>45627</v>
      </c>
      <c r="B198" t="inlineStr"/>
      <c r="C198" t="inlineStr">
        <is>
          <t>Interest</t>
        </is>
      </c>
      <c r="D198" t="n">
        <v>40245.99</v>
      </c>
    </row>
    <row r="199">
      <c r="A199" s="1" t="n">
        <v>45627</v>
      </c>
      <c r="B199" t="inlineStr"/>
      <c r="C199" t="inlineStr">
        <is>
          <t>Interest Income</t>
        </is>
      </c>
      <c r="D199" t="n">
        <v>683.95</v>
      </c>
    </row>
    <row r="200">
      <c r="A200" s="1" t="n">
        <v>45627</v>
      </c>
      <c r="B200" t="inlineStr"/>
      <c r="C200" t="inlineStr">
        <is>
          <t>Internet</t>
        </is>
      </c>
      <c r="D200" t="n">
        <v>1412.14</v>
      </c>
    </row>
    <row r="201">
      <c r="A201" s="1" t="n">
        <v>45627</v>
      </c>
      <c r="B201" t="inlineStr"/>
      <c r="C201" t="inlineStr">
        <is>
          <t>Late Fees</t>
        </is>
      </c>
      <c r="D201" t="n">
        <v>975</v>
      </c>
    </row>
    <row r="202">
      <c r="A202" s="1" t="n">
        <v>45627</v>
      </c>
      <c r="B202" t="inlineStr"/>
      <c r="C202" t="inlineStr">
        <is>
          <t>Legal</t>
        </is>
      </c>
      <c r="D202" t="n">
        <v>5160</v>
      </c>
    </row>
    <row r="203">
      <c r="A203" s="1" t="n">
        <v>45627</v>
      </c>
      <c r="B203" t="inlineStr"/>
      <c r="C203" t="inlineStr">
        <is>
          <t>Loss/Gain to Market</t>
        </is>
      </c>
      <c r="D203" t="n">
        <v>-15448.87</v>
      </c>
    </row>
    <row r="204">
      <c r="A204" s="1" t="n">
        <v>45627</v>
      </c>
      <c r="B204" t="inlineStr"/>
      <c r="C204" t="inlineStr">
        <is>
          <t>Management Fee (4%)</t>
        </is>
      </c>
      <c r="D204" t="n">
        <v>6550.41</v>
      </c>
    </row>
    <row r="205">
      <c r="A205" s="1" t="n">
        <v>45627</v>
      </c>
      <c r="B205" t="inlineStr"/>
      <c r="C205" t="inlineStr">
        <is>
          <t>Meals</t>
        </is>
      </c>
      <c r="D205" t="n">
        <v>41.34</v>
      </c>
    </row>
    <row r="206">
      <c r="A206" s="1" t="n">
        <v>45627</v>
      </c>
      <c r="B206" t="inlineStr"/>
      <c r="C206" t="inlineStr">
        <is>
          <t>Monthly Cash-on-Cash (Ann.)</t>
        </is>
      </c>
      <c r="D206" t="n">
        <v>-0.03</v>
      </c>
    </row>
    <row r="207">
      <c r="A207" s="1" t="n">
        <v>45627</v>
      </c>
      <c r="B207" t="inlineStr"/>
      <c r="C207" t="inlineStr">
        <is>
          <t>Move-In Fees</t>
        </is>
      </c>
      <c r="D207" t="n">
        <v>1500</v>
      </c>
    </row>
    <row r="208">
      <c r="A208" s="1" t="n">
        <v>45627</v>
      </c>
      <c r="B208" t="inlineStr"/>
      <c r="C208" t="inlineStr">
        <is>
          <t>NET CASH FLOW</t>
        </is>
      </c>
      <c r="D208" t="n">
        <v>-37049.78999999999</v>
      </c>
    </row>
    <row r="209">
      <c r="A209" s="1" t="n">
        <v>45627</v>
      </c>
      <c r="B209" t="inlineStr"/>
      <c r="C209" t="inlineStr">
        <is>
          <t>NET OPERATING INCOME (NOI)</t>
        </is>
      </c>
      <c r="D209" t="n">
        <v>39059.3</v>
      </c>
    </row>
    <row r="210">
      <c r="A210" s="1" t="n">
        <v>45627</v>
      </c>
      <c r="B210" t="inlineStr"/>
      <c r="C210" t="inlineStr">
        <is>
          <t>NSF Fees</t>
        </is>
      </c>
      <c r="D210" t="n">
        <v>355</v>
      </c>
    </row>
    <row r="211">
      <c r="A211" s="1" t="n">
        <v>45627</v>
      </c>
      <c r="B211" t="inlineStr"/>
      <c r="C211" t="inlineStr">
        <is>
          <t>Painting</t>
        </is>
      </c>
      <c r="D211" t="n">
        <v>2100</v>
      </c>
    </row>
    <row r="212">
      <c r="A212" s="1" t="n">
        <v>45627</v>
      </c>
      <c r="B212" t="inlineStr"/>
      <c r="C212" t="inlineStr">
        <is>
          <t>Payroll</t>
        </is>
      </c>
      <c r="D212" t="n">
        <v>2905</v>
      </c>
    </row>
    <row r="213">
      <c r="A213" s="1" t="n">
        <v>45627</v>
      </c>
      <c r="B213" t="inlineStr"/>
      <c r="C213" t="inlineStr">
        <is>
          <t>Principal</t>
        </is>
      </c>
      <c r="D213" t="n">
        <v>9919.09</v>
      </c>
    </row>
    <row r="214">
      <c r="A214" s="1" t="n">
        <v>45627</v>
      </c>
      <c r="B214" t="inlineStr"/>
      <c r="C214" t="inlineStr">
        <is>
          <t>Property Insurance</t>
        </is>
      </c>
      <c r="D214" t="n">
        <v>13145.2</v>
      </c>
    </row>
    <row r="215">
      <c r="A215" s="1" t="n">
        <v>45627</v>
      </c>
      <c r="B215" t="inlineStr"/>
      <c r="C215" t="inlineStr">
        <is>
          <t>Real Estate Taxes</t>
        </is>
      </c>
      <c r="D215" t="n">
        <v>19833.33</v>
      </c>
    </row>
    <row r="216">
      <c r="A216" s="1" t="n">
        <v>45627</v>
      </c>
      <c r="B216" t="inlineStr"/>
      <c r="C216" t="inlineStr">
        <is>
          <t>Remodel</t>
        </is>
      </c>
      <c r="D216" t="n">
        <v>2463.6</v>
      </c>
    </row>
    <row r="217">
      <c r="A217" s="1" t="n">
        <v>45627</v>
      </c>
      <c r="B217" t="inlineStr"/>
      <c r="C217" t="inlineStr">
        <is>
          <t>Repairs - Other</t>
        </is>
      </c>
      <c r="D217" t="n">
        <v>150</v>
      </c>
    </row>
    <row r="218">
      <c r="A218" s="1" t="n">
        <v>45627</v>
      </c>
      <c r="B218" t="inlineStr"/>
      <c r="C218" t="inlineStr">
        <is>
          <t>Supplies</t>
        </is>
      </c>
      <c r="D218" t="n">
        <v>3427.1</v>
      </c>
    </row>
    <row r="219">
      <c r="A219" s="1" t="n">
        <v>45627</v>
      </c>
      <c r="B219" t="inlineStr"/>
      <c r="C219" t="inlineStr">
        <is>
          <t>Total Capital Expenditures</t>
        </is>
      </c>
      <c r="D219" t="n">
        <v>25944.01</v>
      </c>
    </row>
    <row r="220">
      <c r="A220" s="1" t="n">
        <v>45627</v>
      </c>
      <c r="B220" t="inlineStr"/>
      <c r="C220" t="inlineStr">
        <is>
          <t>Total Debt Service</t>
        </is>
      </c>
      <c r="D220" t="n">
        <v>50165.08</v>
      </c>
    </row>
    <row r="221">
      <c r="A221" s="1" t="n">
        <v>45627</v>
      </c>
      <c r="B221" t="inlineStr"/>
      <c r="C221" t="inlineStr">
        <is>
          <t>Total Operating Expenses</t>
        </is>
      </c>
      <c r="D221" t="n">
        <v>105230.15</v>
      </c>
    </row>
    <row r="222">
      <c r="A222" s="1" t="n">
        <v>45627</v>
      </c>
      <c r="B222" t="inlineStr"/>
      <c r="C222" t="inlineStr">
        <is>
          <t>Total Other Income</t>
        </is>
      </c>
      <c r="D222" t="n">
        <v>3513.95</v>
      </c>
    </row>
    <row r="223">
      <c r="A223" s="1" t="n">
        <v>45627</v>
      </c>
      <c r="B223" t="inlineStr"/>
      <c r="C223" t="inlineStr">
        <is>
          <t>Vacancy</t>
        </is>
      </c>
      <c r="D223" t="n">
        <v>-3116.13</v>
      </c>
    </row>
    <row r="224">
      <c r="A224" s="1" t="n">
        <v>45627</v>
      </c>
      <c r="B224" t="inlineStr"/>
      <c r="C224" t="inlineStr">
        <is>
          <t>Water</t>
        </is>
      </c>
      <c r="D224" t="n">
        <v>17703.58</v>
      </c>
    </row>
    <row r="225">
      <c r="A225" s="1" t="n">
        <v>45658</v>
      </c>
      <c r="B225" t="inlineStr"/>
      <c r="C225" t="inlineStr">
        <is>
          <t>Accounting</t>
        </is>
      </c>
      <c r="D225" t="n">
        <v>4715.64</v>
      </c>
    </row>
    <row r="226">
      <c r="A226" s="1" t="n">
        <v>45658</v>
      </c>
      <c r="B226" t="inlineStr"/>
      <c r="C226" t="inlineStr">
        <is>
          <t>Bank Fees</t>
        </is>
      </c>
      <c r="D226" t="n">
        <v>25</v>
      </c>
    </row>
    <row r="227">
      <c r="A227" s="1" t="n">
        <v>45658</v>
      </c>
      <c r="B227" t="inlineStr"/>
      <c r="C227" t="inlineStr">
        <is>
          <t>CASH FLOW AFTER DEBT SERVICE</t>
        </is>
      </c>
      <c r="D227" t="n">
        <v>13042.99000000001</v>
      </c>
    </row>
    <row r="228">
      <c r="A228" s="1" t="n">
        <v>45658</v>
      </c>
      <c r="B228" t="inlineStr"/>
      <c r="C228" t="inlineStr">
        <is>
          <t>Cap Rate</t>
        </is>
      </c>
      <c r="D228" t="n">
        <v>0.06324220000000001</v>
      </c>
    </row>
    <row r="229">
      <c r="A229" s="1" t="n">
        <v>45658</v>
      </c>
      <c r="B229" t="inlineStr"/>
      <c r="C229" t="inlineStr">
        <is>
          <t>Cash-on-Cash (Ann.)</t>
        </is>
      </c>
      <c r="D229" t="n">
        <v>0.02555939207048461</v>
      </c>
    </row>
    <row r="230">
      <c r="A230" s="1" t="n">
        <v>45658</v>
      </c>
      <c r="B230" t="inlineStr"/>
      <c r="C230" t="inlineStr">
        <is>
          <t>Cash-on-Cash (CFADS)</t>
        </is>
      </c>
      <c r="D230" t="n">
        <v>0.03447486343612338</v>
      </c>
    </row>
    <row r="231">
      <c r="A231" s="1" t="n">
        <v>45658</v>
      </c>
      <c r="B231" t="inlineStr"/>
      <c r="C231" t="inlineStr">
        <is>
          <t>Cleaning &amp; Maint</t>
        </is>
      </c>
      <c r="D231" t="n">
        <v>2987.23</v>
      </c>
    </row>
    <row r="232">
      <c r="A232" s="1" t="n">
        <v>45658</v>
      </c>
      <c r="B232" t="inlineStr"/>
      <c r="C232" t="inlineStr">
        <is>
          <t>Concessions</t>
        </is>
      </c>
      <c r="D232" t="n">
        <v>-25</v>
      </c>
    </row>
    <row r="233">
      <c r="A233" s="1" t="n">
        <v>45658</v>
      </c>
      <c r="B233" t="inlineStr"/>
      <c r="C233" t="inlineStr">
        <is>
          <t>DSCR</t>
        </is>
      </c>
      <c r="D233" t="n">
        <v>1.259824606801581</v>
      </c>
    </row>
    <row r="234">
      <c r="A234" s="1" t="n">
        <v>45658</v>
      </c>
      <c r="B234" t="inlineStr"/>
      <c r="C234" t="inlineStr">
        <is>
          <t>Delinquency</t>
        </is>
      </c>
      <c r="D234" t="n">
        <v>-1246.91</v>
      </c>
    </row>
    <row r="235">
      <c r="A235" s="1" t="n">
        <v>45658</v>
      </c>
      <c r="B235" t="inlineStr"/>
      <c r="C235" t="inlineStr">
        <is>
          <t>EFFECTIVE GROSS INCOME (EGI)</t>
        </is>
      </c>
      <c r="D235" t="n">
        <v>149982.69</v>
      </c>
    </row>
    <row r="236">
      <c r="A236" s="1" t="n">
        <v>45658</v>
      </c>
      <c r="B236" t="inlineStr"/>
      <c r="C236" t="inlineStr">
        <is>
          <t>Effective Rental Income</t>
        </is>
      </c>
      <c r="D236" t="n">
        <v>146048.09</v>
      </c>
    </row>
    <row r="237">
      <c r="A237" s="1" t="n">
        <v>45658</v>
      </c>
      <c r="B237" t="inlineStr"/>
      <c r="C237" t="inlineStr">
        <is>
          <t>Electricity</t>
        </is>
      </c>
      <c r="D237" t="n">
        <v>2320.41</v>
      </c>
    </row>
    <row r="238">
      <c r="A238" s="1" t="n">
        <v>45658</v>
      </c>
      <c r="B238" t="inlineStr"/>
      <c r="C238" t="inlineStr">
        <is>
          <t>Expense Ratio</t>
        </is>
      </c>
      <c r="D238" t="n">
        <v>0.5783366733854419</v>
      </c>
    </row>
    <row r="239">
      <c r="A239" s="1" t="n">
        <v>45658</v>
      </c>
      <c r="B239" t="inlineStr"/>
      <c r="C239" t="inlineStr">
        <is>
          <t>Flooring</t>
        </is>
      </c>
      <c r="D239" t="n">
        <v>884.04</v>
      </c>
    </row>
    <row r="240">
      <c r="A240" s="1" t="n">
        <v>45658</v>
      </c>
      <c r="B240" t="inlineStr"/>
      <c r="C240" t="inlineStr">
        <is>
          <t>Garbage &amp; Recycling</t>
        </is>
      </c>
      <c r="D240" t="n">
        <v>13756.71</v>
      </c>
    </row>
    <row r="241">
      <c r="A241" s="1" t="n">
        <v>45658</v>
      </c>
      <c r="B241" t="inlineStr"/>
      <c r="C241" t="inlineStr">
        <is>
          <t>Gas</t>
        </is>
      </c>
      <c r="D241" t="n">
        <v>9659.01</v>
      </c>
    </row>
    <row r="242">
      <c r="A242" s="1" t="n">
        <v>45658</v>
      </c>
      <c r="B242" t="inlineStr"/>
      <c r="C242" t="inlineStr">
        <is>
          <t>General Maint. Labor</t>
        </is>
      </c>
      <c r="D242" t="n">
        <v>7679.4</v>
      </c>
    </row>
    <row r="243">
      <c r="A243" s="1" t="n">
        <v>45658</v>
      </c>
      <c r="B243" t="inlineStr"/>
      <c r="C243" t="inlineStr">
        <is>
          <t>Gross Potential Rent</t>
        </is>
      </c>
      <c r="D243" t="n">
        <v>167200</v>
      </c>
    </row>
    <row r="244">
      <c r="A244" s="1" t="n">
        <v>45658</v>
      </c>
      <c r="B244" t="inlineStr"/>
      <c r="C244" t="inlineStr">
        <is>
          <t>Insurance Services</t>
        </is>
      </c>
      <c r="D244" t="n">
        <v>15</v>
      </c>
    </row>
    <row r="245">
      <c r="A245" s="1" t="n">
        <v>45658</v>
      </c>
      <c r="B245" t="inlineStr"/>
      <c r="C245" t="inlineStr">
        <is>
          <t>Interest</t>
        </is>
      </c>
      <c r="D245" t="n">
        <v>41541.04</v>
      </c>
    </row>
    <row r="246">
      <c r="A246" s="1" t="n">
        <v>45658</v>
      </c>
      <c r="B246" t="inlineStr"/>
      <c r="C246" t="inlineStr">
        <is>
          <t>Interest Income</t>
        </is>
      </c>
      <c r="D246" t="n">
        <v>607.4299999999999</v>
      </c>
    </row>
    <row r="247">
      <c r="A247" s="1" t="n">
        <v>45658</v>
      </c>
      <c r="B247" t="inlineStr"/>
      <c r="C247" t="inlineStr">
        <is>
          <t>Internet Charges</t>
        </is>
      </c>
      <c r="D247" t="n">
        <v>752.17</v>
      </c>
    </row>
    <row r="248">
      <c r="A248" s="1" t="n">
        <v>45658</v>
      </c>
      <c r="B248" t="inlineStr"/>
      <c r="C248" t="inlineStr">
        <is>
          <t>Late Fees</t>
        </is>
      </c>
      <c r="D248" t="n">
        <v>1505</v>
      </c>
    </row>
    <row r="249">
      <c r="A249" s="1" t="n">
        <v>45658</v>
      </c>
      <c r="B249" t="inlineStr"/>
      <c r="C249" t="inlineStr">
        <is>
          <t>Legal</t>
        </is>
      </c>
      <c r="D249" t="n">
        <v>58</v>
      </c>
    </row>
    <row r="250">
      <c r="A250" s="1" t="n">
        <v>45658</v>
      </c>
      <c r="B250" t="inlineStr"/>
      <c r="C250" t="inlineStr">
        <is>
          <t>Loss/Gain to Market</t>
        </is>
      </c>
      <c r="D250" t="n">
        <v>-16373.55</v>
      </c>
    </row>
    <row r="251">
      <c r="A251" s="1" t="n">
        <v>45658</v>
      </c>
      <c r="B251" t="inlineStr"/>
      <c r="C251" t="inlineStr">
        <is>
          <t>Management Fee (4%)</t>
        </is>
      </c>
      <c r="D251" t="n">
        <v>5746.08</v>
      </c>
    </row>
    <row r="252">
      <c r="A252" s="1" t="n">
        <v>45658</v>
      </c>
      <c r="B252" t="inlineStr"/>
      <c r="C252" t="inlineStr">
        <is>
          <t>Monthly Cash-on-Cash (Ann.)</t>
        </is>
      </c>
      <c r="D252" t="n">
        <v>0.03</v>
      </c>
    </row>
    <row r="253">
      <c r="A253" s="1" t="n">
        <v>45658</v>
      </c>
      <c r="B253" t="inlineStr"/>
      <c r="C253" t="inlineStr">
        <is>
          <t>Move-In Fees</t>
        </is>
      </c>
      <c r="D253" t="n">
        <v>750</v>
      </c>
    </row>
    <row r="254">
      <c r="A254" s="1" t="n">
        <v>45658</v>
      </c>
      <c r="B254" t="inlineStr"/>
      <c r="C254" t="inlineStr">
        <is>
          <t>NET CASH FLOW</t>
        </is>
      </c>
      <c r="D254" t="n">
        <v>9669.970000000012</v>
      </c>
    </row>
    <row r="255">
      <c r="A255" s="1" t="n">
        <v>45658</v>
      </c>
      <c r="B255" t="inlineStr"/>
      <c r="C255" t="inlineStr">
        <is>
          <t>NET OPERATING INCOME (NOI)</t>
        </is>
      </c>
      <c r="D255" t="n">
        <v>63242.20000000001</v>
      </c>
    </row>
    <row r="256">
      <c r="A256" s="1" t="n">
        <v>45658</v>
      </c>
      <c r="B256" t="inlineStr"/>
      <c r="C256" t="inlineStr">
        <is>
          <t>NSF Fees</t>
        </is>
      </c>
      <c r="D256" t="n">
        <v>305</v>
      </c>
    </row>
    <row r="257">
      <c r="A257" s="1" t="n">
        <v>45658</v>
      </c>
      <c r="B257" t="inlineStr"/>
      <c r="C257" t="inlineStr">
        <is>
          <t>Painting</t>
        </is>
      </c>
      <c r="D257" t="n">
        <v>350</v>
      </c>
    </row>
    <row r="258">
      <c r="A258" s="1" t="n">
        <v>45658</v>
      </c>
      <c r="B258" t="inlineStr"/>
      <c r="C258" t="inlineStr">
        <is>
          <t>Payroll</t>
        </is>
      </c>
      <c r="D258" t="n">
        <v>3652.5</v>
      </c>
    </row>
    <row r="259">
      <c r="A259" s="1" t="n">
        <v>45658</v>
      </c>
      <c r="B259" t="inlineStr"/>
      <c r="C259" t="inlineStr">
        <is>
          <t>Pest Control</t>
        </is>
      </c>
      <c r="D259" t="n">
        <v>1085.24</v>
      </c>
    </row>
    <row r="260">
      <c r="A260" s="1" t="n">
        <v>45658</v>
      </c>
      <c r="B260" t="inlineStr"/>
      <c r="C260" t="inlineStr">
        <is>
          <t>Principal</t>
        </is>
      </c>
      <c r="D260" t="n">
        <v>8658.17</v>
      </c>
    </row>
    <row r="261">
      <c r="A261" s="1" t="n">
        <v>45658</v>
      </c>
      <c r="B261" t="inlineStr"/>
      <c r="C261" t="inlineStr">
        <is>
          <t>Professional - Other</t>
        </is>
      </c>
      <c r="D261" t="n">
        <v>-229</v>
      </c>
    </row>
    <row r="262">
      <c r="A262" s="1" t="n">
        <v>45658</v>
      </c>
      <c r="B262" t="inlineStr"/>
      <c r="C262" t="inlineStr">
        <is>
          <t>Property Insurance</t>
        </is>
      </c>
      <c r="D262" t="n">
        <v>11948</v>
      </c>
    </row>
    <row r="263">
      <c r="A263" s="1" t="n">
        <v>45658</v>
      </c>
      <c r="B263" t="inlineStr"/>
      <c r="C263" t="inlineStr">
        <is>
          <t>Real Estate Taxes</t>
        </is>
      </c>
      <c r="D263" t="n">
        <v>18823.25</v>
      </c>
    </row>
    <row r="264">
      <c r="A264" s="1" t="n">
        <v>45658</v>
      </c>
      <c r="B264" t="inlineStr"/>
      <c r="C264" t="inlineStr">
        <is>
          <t>Repairs - Other</t>
        </is>
      </c>
      <c r="D264" t="n">
        <v>790</v>
      </c>
    </row>
    <row r="265">
      <c r="A265" s="1" t="n">
        <v>45658</v>
      </c>
      <c r="B265" t="inlineStr"/>
      <c r="C265" t="inlineStr">
        <is>
          <t>Supplies</t>
        </is>
      </c>
      <c r="D265" t="n">
        <v>2488.98</v>
      </c>
    </row>
    <row r="266">
      <c r="A266" s="1" t="n">
        <v>45658</v>
      </c>
      <c r="B266" t="inlineStr"/>
      <c r="C266" t="inlineStr">
        <is>
          <t>Total Capital Expenditures</t>
        </is>
      </c>
      <c r="D266" t="n">
        <v>3373.02</v>
      </c>
    </row>
    <row r="267">
      <c r="A267" s="1" t="n">
        <v>45658</v>
      </c>
      <c r="B267" t="inlineStr"/>
      <c r="C267" t="inlineStr">
        <is>
          <t>Total Debt Service</t>
        </is>
      </c>
      <c r="D267" t="n">
        <v>50199.21</v>
      </c>
    </row>
    <row r="268">
      <c r="A268" s="1" t="n">
        <v>45658</v>
      </c>
      <c r="B268" t="inlineStr"/>
      <c r="C268" t="inlineStr">
        <is>
          <t>Total Operating Expenses</t>
        </is>
      </c>
      <c r="D268" t="n">
        <v>86740.48999999999</v>
      </c>
    </row>
    <row r="269">
      <c r="A269" s="1" t="n">
        <v>45658</v>
      </c>
      <c r="B269" t="inlineStr"/>
      <c r="C269" t="inlineStr">
        <is>
          <t>Total Other Income</t>
        </is>
      </c>
      <c r="D269" t="n">
        <v>3934.6</v>
      </c>
    </row>
    <row r="270">
      <c r="A270" s="1" t="n">
        <v>45658</v>
      </c>
      <c r="B270" t="inlineStr"/>
      <c r="C270" t="inlineStr">
        <is>
          <t>Vacancy</t>
        </is>
      </c>
      <c r="D270" t="n">
        <v>-3506.45</v>
      </c>
    </row>
    <row r="271">
      <c r="A271" s="1" t="n">
        <v>45689</v>
      </c>
      <c r="B271" t="inlineStr"/>
      <c r="C271" t="inlineStr">
        <is>
          <t>Accounting</t>
        </is>
      </c>
      <c r="D271" t="n">
        <v>1390.8</v>
      </c>
    </row>
    <row r="272">
      <c r="A272" s="1" t="n">
        <v>45689</v>
      </c>
      <c r="B272" t="inlineStr"/>
      <c r="C272" t="inlineStr">
        <is>
          <t>Application Fees</t>
        </is>
      </c>
      <c r="D272" t="n">
        <v>45</v>
      </c>
    </row>
    <row r="273">
      <c r="A273" s="1" t="n">
        <v>45689</v>
      </c>
      <c r="B273" t="inlineStr"/>
      <c r="C273" t="inlineStr">
        <is>
          <t>Bank Fees</t>
        </is>
      </c>
      <c r="D273" t="n">
        <v>226.71</v>
      </c>
    </row>
    <row r="274">
      <c r="A274" s="1" t="n">
        <v>45689</v>
      </c>
      <c r="B274" t="inlineStr"/>
      <c r="C274" t="inlineStr">
        <is>
          <t>CASH FLOW AFTER DEBT SERVICE</t>
        </is>
      </c>
      <c r="D274" t="n">
        <v>12788.27</v>
      </c>
    </row>
    <row r="275">
      <c r="A275" s="1" t="n">
        <v>45689</v>
      </c>
      <c r="B275" t="inlineStr"/>
      <c r="C275" t="inlineStr">
        <is>
          <t>Cabinets</t>
        </is>
      </c>
      <c r="D275" t="n">
        <v>8346.4</v>
      </c>
    </row>
    <row r="276">
      <c r="A276" s="1" t="n">
        <v>45689</v>
      </c>
      <c r="B276" t="inlineStr"/>
      <c r="C276" t="inlineStr">
        <is>
          <t>Cap Rate</t>
        </is>
      </c>
      <c r="D276" t="n">
        <v>0.06429230000000001</v>
      </c>
    </row>
    <row r="277">
      <c r="A277" s="1" t="n">
        <v>45689</v>
      </c>
      <c r="B277" t="inlineStr"/>
      <c r="C277" t="inlineStr">
        <is>
          <t>Carpet Cleaning</t>
        </is>
      </c>
      <c r="D277" t="n">
        <v>393.13</v>
      </c>
    </row>
    <row r="278">
      <c r="A278" s="1" t="n">
        <v>45689</v>
      </c>
      <c r="B278" t="inlineStr"/>
      <c r="C278" t="inlineStr">
        <is>
          <t>Cash-on-Cash (Ann.)</t>
        </is>
      </c>
      <c r="D278" t="n">
        <v>-0.06428217621145374</v>
      </c>
    </row>
    <row r="279">
      <c r="A279" s="1" t="n">
        <v>45689</v>
      </c>
      <c r="B279" t="inlineStr"/>
      <c r="C279" t="inlineStr">
        <is>
          <t>Cash-on-Cash (CFADS)</t>
        </is>
      </c>
      <c r="D279" t="n">
        <v>0.0338015947136564</v>
      </c>
    </row>
    <row r="280">
      <c r="A280" s="1" t="n">
        <v>45689</v>
      </c>
      <c r="B280" t="inlineStr"/>
      <c r="C280" t="inlineStr">
        <is>
          <t>Cleaning &amp; Maint</t>
        </is>
      </c>
      <c r="D280" t="n">
        <v>1875</v>
      </c>
    </row>
    <row r="281">
      <c r="A281" s="1" t="n">
        <v>45689</v>
      </c>
      <c r="B281" t="inlineStr"/>
      <c r="C281" t="inlineStr">
        <is>
          <t>DSCR</t>
        </is>
      </c>
      <c r="D281" t="n">
        <v>1.248296492526896</v>
      </c>
    </row>
    <row r="282">
      <c r="A282" s="1" t="n">
        <v>45689</v>
      </c>
      <c r="B282" t="inlineStr"/>
      <c r="C282" t="inlineStr">
        <is>
          <t>Delinquency</t>
        </is>
      </c>
      <c r="D282" t="n">
        <v>2768</v>
      </c>
    </row>
    <row r="283">
      <c r="A283" s="1" t="n">
        <v>45689</v>
      </c>
      <c r="B283" t="inlineStr"/>
      <c r="C283" t="inlineStr">
        <is>
          <t>Deposit Forfeit</t>
        </is>
      </c>
      <c r="D283" t="n">
        <v>-1295</v>
      </c>
    </row>
    <row r="284">
      <c r="A284" s="1" t="n">
        <v>45689</v>
      </c>
      <c r="B284" t="inlineStr"/>
      <c r="C284" t="inlineStr">
        <is>
          <t>EFFECTIVE GROSS INCOME (EGI)</t>
        </is>
      </c>
      <c r="D284" t="n">
        <v>152499.34</v>
      </c>
    </row>
    <row r="285">
      <c r="A285" s="1" t="n">
        <v>45689</v>
      </c>
      <c r="B285" t="inlineStr"/>
      <c r="C285" t="inlineStr">
        <is>
          <t>Effective Rental Income</t>
        </is>
      </c>
      <c r="D285" t="n">
        <v>146930.5</v>
      </c>
    </row>
    <row r="286">
      <c r="A286" s="1" t="n">
        <v>45689</v>
      </c>
      <c r="B286" t="inlineStr"/>
      <c r="C286" t="inlineStr">
        <is>
          <t>Electricity</t>
        </is>
      </c>
      <c r="D286" t="n">
        <v>1564.76</v>
      </c>
    </row>
    <row r="287">
      <c r="A287" s="1" t="n">
        <v>45689</v>
      </c>
      <c r="B287" t="inlineStr"/>
      <c r="C287" t="inlineStr">
        <is>
          <t>Expense Ratio</t>
        </is>
      </c>
      <c r="D287" t="n">
        <v>0.5784093229518239</v>
      </c>
    </row>
    <row r="288">
      <c r="A288" s="1" t="n">
        <v>45689</v>
      </c>
      <c r="B288" t="inlineStr"/>
      <c r="C288" t="inlineStr">
        <is>
          <t>Flooring</t>
        </is>
      </c>
      <c r="D288" t="n">
        <v>3045.34</v>
      </c>
    </row>
    <row r="289">
      <c r="A289" s="1" t="n">
        <v>45689</v>
      </c>
      <c r="B289" t="inlineStr"/>
      <c r="C289" t="inlineStr">
        <is>
          <t>Garbage &amp; Recycling</t>
        </is>
      </c>
      <c r="D289" t="n">
        <v>595.83</v>
      </c>
    </row>
    <row r="290">
      <c r="A290" s="1" t="n">
        <v>45689</v>
      </c>
      <c r="B290" t="inlineStr"/>
      <c r="C290" t="inlineStr">
        <is>
          <t>Gas</t>
        </is>
      </c>
      <c r="D290" t="n">
        <v>11563.63</v>
      </c>
    </row>
    <row r="291">
      <c r="A291" s="1" t="n">
        <v>45689</v>
      </c>
      <c r="B291" t="inlineStr"/>
      <c r="C291" t="inlineStr">
        <is>
          <t>General Maint. Labor</t>
        </is>
      </c>
      <c r="D291" t="n">
        <v>7478.4</v>
      </c>
    </row>
    <row r="292">
      <c r="A292" s="1" t="n">
        <v>45689</v>
      </c>
      <c r="B292" t="inlineStr"/>
      <c r="C292" t="inlineStr">
        <is>
          <t>Gross Potential Rent</t>
        </is>
      </c>
      <c r="D292" t="n">
        <v>167204.28</v>
      </c>
    </row>
    <row r="293">
      <c r="A293" s="1" t="n">
        <v>45689</v>
      </c>
      <c r="B293" t="inlineStr"/>
      <c r="C293" t="inlineStr">
        <is>
          <t>Insurance Services</t>
        </is>
      </c>
      <c r="D293" t="n">
        <v>5</v>
      </c>
    </row>
    <row r="294">
      <c r="A294" s="1" t="n">
        <v>45689</v>
      </c>
      <c r="B294" t="inlineStr"/>
      <c r="C294" t="inlineStr">
        <is>
          <t>Interest</t>
        </is>
      </c>
      <c r="D294" t="n">
        <v>41500.64</v>
      </c>
    </row>
    <row r="295">
      <c r="A295" s="1" t="n">
        <v>45689</v>
      </c>
      <c r="B295" t="inlineStr"/>
      <c r="C295" t="inlineStr">
        <is>
          <t>Interest Income</t>
        </is>
      </c>
      <c r="D295" t="n">
        <v>514.01</v>
      </c>
    </row>
    <row r="296">
      <c r="A296" s="1" t="n">
        <v>45689</v>
      </c>
      <c r="B296" t="inlineStr"/>
      <c r="C296" t="inlineStr">
        <is>
          <t>Internet</t>
        </is>
      </c>
      <c r="D296" t="n">
        <v>605.87</v>
      </c>
    </row>
    <row r="297">
      <c r="A297" s="1" t="n">
        <v>45689</v>
      </c>
      <c r="B297" t="inlineStr"/>
      <c r="C297" t="inlineStr">
        <is>
          <t>Internet Charges</t>
        </is>
      </c>
      <c r="D297" t="n">
        <v>1262.83</v>
      </c>
    </row>
    <row r="298">
      <c r="A298" s="1" t="n">
        <v>45689</v>
      </c>
      <c r="B298" t="inlineStr"/>
      <c r="C298" t="inlineStr">
        <is>
          <t>Labor</t>
        </is>
      </c>
      <c r="D298" t="n">
        <v>11200</v>
      </c>
    </row>
    <row r="299">
      <c r="A299" s="1" t="n">
        <v>45689</v>
      </c>
      <c r="B299" t="inlineStr"/>
      <c r="C299" t="inlineStr">
        <is>
          <t>Late Fees</t>
        </is>
      </c>
      <c r="D299" t="n">
        <v>1720</v>
      </c>
    </row>
    <row r="300">
      <c r="A300" s="1" t="n">
        <v>45689</v>
      </c>
      <c r="B300" t="inlineStr"/>
      <c r="C300" t="inlineStr">
        <is>
          <t>Legal</t>
        </is>
      </c>
      <c r="D300" t="n">
        <v>-23.71</v>
      </c>
    </row>
    <row r="301">
      <c r="A301" s="1" t="n">
        <v>45689</v>
      </c>
      <c r="B301" t="inlineStr"/>
      <c r="C301" t="inlineStr">
        <is>
          <t>Loss/Gain to Market</t>
        </is>
      </c>
      <c r="D301" t="n">
        <v>-16166.08</v>
      </c>
    </row>
    <row r="302">
      <c r="A302" s="1" t="n">
        <v>45689</v>
      </c>
      <c r="B302" t="inlineStr"/>
      <c r="C302" t="inlineStr">
        <is>
          <t>Management Fee (4%)</t>
        </is>
      </c>
      <c r="D302" t="n">
        <v>5975</v>
      </c>
    </row>
    <row r="303">
      <c r="A303" s="1" t="n">
        <v>45689</v>
      </c>
      <c r="B303" t="inlineStr"/>
      <c r="C303" t="inlineStr">
        <is>
          <t>Meals</t>
        </is>
      </c>
      <c r="D303" t="n">
        <v>51.06</v>
      </c>
    </row>
    <row r="304">
      <c r="A304" s="1" t="n">
        <v>45689</v>
      </c>
      <c r="B304" t="inlineStr"/>
      <c r="C304" t="inlineStr">
        <is>
          <t>Monthly Cash-on-Cash (Ann.)</t>
        </is>
      </c>
      <c r="D304" t="n">
        <v>0.07000000000000001</v>
      </c>
    </row>
    <row r="305">
      <c r="A305" s="1" t="n">
        <v>45689</v>
      </c>
      <c r="B305" t="inlineStr"/>
      <c r="C305" t="inlineStr">
        <is>
          <t>Move-In Fees</t>
        </is>
      </c>
      <c r="D305" t="n">
        <v>2250</v>
      </c>
    </row>
    <row r="306">
      <c r="A306" s="1" t="n">
        <v>45689</v>
      </c>
      <c r="B306" t="inlineStr"/>
      <c r="C306" t="inlineStr">
        <is>
          <t>NET CASH FLOW</t>
        </is>
      </c>
      <c r="D306" t="n">
        <v>-24320.09</v>
      </c>
    </row>
    <row r="307">
      <c r="A307" s="1" t="n">
        <v>45689</v>
      </c>
      <c r="B307" t="inlineStr"/>
      <c r="C307" t="inlineStr">
        <is>
          <t>NET OPERATING INCOME (NOI)</t>
        </is>
      </c>
      <c r="D307" t="n">
        <v>64292.3</v>
      </c>
    </row>
    <row r="308">
      <c r="A308" s="1" t="n">
        <v>45689</v>
      </c>
      <c r="B308" t="inlineStr"/>
      <c r="C308" t="inlineStr">
        <is>
          <t>NSF Fees</t>
        </is>
      </c>
      <c r="D308" t="n">
        <v>55</v>
      </c>
    </row>
    <row r="309">
      <c r="A309" s="1" t="n">
        <v>45689</v>
      </c>
      <c r="B309" t="inlineStr"/>
      <c r="C309" t="inlineStr">
        <is>
          <t>Payroll</t>
        </is>
      </c>
      <c r="D309" t="n">
        <v>2512.5</v>
      </c>
    </row>
    <row r="310">
      <c r="A310" s="1" t="n">
        <v>45689</v>
      </c>
      <c r="B310" t="inlineStr"/>
      <c r="C310" t="inlineStr">
        <is>
          <t>Plumbing</t>
        </is>
      </c>
      <c r="D310" t="n">
        <v>4684.5</v>
      </c>
    </row>
    <row r="311">
      <c r="A311" s="1" t="n">
        <v>45689</v>
      </c>
      <c r="B311" t="inlineStr"/>
      <c r="C311" t="inlineStr">
        <is>
          <t>Principal</t>
        </is>
      </c>
      <c r="D311" t="n">
        <v>10003.39</v>
      </c>
    </row>
    <row r="312">
      <c r="A312" s="1" t="n">
        <v>45689</v>
      </c>
      <c r="B312" t="inlineStr"/>
      <c r="C312" t="inlineStr">
        <is>
          <t>Professional - Other</t>
        </is>
      </c>
      <c r="D312" t="n">
        <v>-75</v>
      </c>
    </row>
    <row r="313">
      <c r="A313" s="1" t="n">
        <v>45689</v>
      </c>
      <c r="B313" t="inlineStr"/>
      <c r="C313" t="inlineStr">
        <is>
          <t>Property Insurance</t>
        </is>
      </c>
      <c r="D313" t="n">
        <v>11948</v>
      </c>
    </row>
    <row r="314">
      <c r="A314" s="1" t="n">
        <v>45689</v>
      </c>
      <c r="B314" t="inlineStr"/>
      <c r="C314" t="inlineStr">
        <is>
          <t>Real Estate Taxes</t>
        </is>
      </c>
      <c r="D314" t="n">
        <v>18823.25</v>
      </c>
    </row>
    <row r="315">
      <c r="A315" s="1" t="n">
        <v>45689</v>
      </c>
      <c r="B315" t="inlineStr"/>
      <c r="C315" t="inlineStr">
        <is>
          <t>Repairs - Other</t>
        </is>
      </c>
      <c r="D315" t="n">
        <v>470</v>
      </c>
    </row>
    <row r="316">
      <c r="A316" s="1" t="n">
        <v>45689</v>
      </c>
      <c r="B316" t="inlineStr"/>
      <c r="C316" t="inlineStr">
        <is>
          <t>Supplies</t>
        </is>
      </c>
      <c r="D316" t="n">
        <v>14516.62</v>
      </c>
    </row>
    <row r="317">
      <c r="A317" s="1" t="n">
        <v>45689</v>
      </c>
      <c r="B317" t="inlineStr"/>
      <c r="C317" t="inlineStr">
        <is>
          <t>Total Capital Expenditures</t>
        </is>
      </c>
      <c r="D317" t="n">
        <v>37108.36</v>
      </c>
    </row>
    <row r="318">
      <c r="A318" s="1" t="n">
        <v>45689</v>
      </c>
      <c r="B318" t="inlineStr"/>
      <c r="C318" t="inlineStr">
        <is>
          <t>Total Debt Service</t>
        </is>
      </c>
      <c r="D318" t="n">
        <v>51504.03</v>
      </c>
    </row>
    <row r="319">
      <c r="A319" s="1" t="n">
        <v>45689</v>
      </c>
      <c r="B319" t="inlineStr"/>
      <c r="C319" t="inlineStr">
        <is>
          <t>Total Operating Expenses</t>
        </is>
      </c>
      <c r="D319" t="n">
        <v>88207.03999999999</v>
      </c>
    </row>
    <row r="320">
      <c r="A320" s="1" t="n">
        <v>45689</v>
      </c>
      <c r="B320" t="inlineStr"/>
      <c r="C320" t="inlineStr">
        <is>
          <t>Total Other Income</t>
        </is>
      </c>
      <c r="D320" t="n">
        <v>5568.84</v>
      </c>
    </row>
    <row r="321">
      <c r="A321" s="1" t="n">
        <v>45689</v>
      </c>
      <c r="B321" t="inlineStr"/>
      <c r="C321" t="inlineStr">
        <is>
          <t>Travel</t>
        </is>
      </c>
      <c r="D321" t="n">
        <v>585.35</v>
      </c>
    </row>
    <row r="322">
      <c r="A322" s="1" t="n">
        <v>45689</v>
      </c>
      <c r="B322" t="inlineStr"/>
      <c r="C322" t="inlineStr">
        <is>
          <t>Utility Reimbursement</t>
        </is>
      </c>
      <c r="D322" t="n">
        <v>1012</v>
      </c>
    </row>
    <row r="323">
      <c r="A323" s="1" t="n">
        <v>45689</v>
      </c>
      <c r="B323" t="inlineStr"/>
      <c r="C323" t="inlineStr">
        <is>
          <t>Vacancy</t>
        </is>
      </c>
      <c r="D323" t="n">
        <v>-6875.7</v>
      </c>
    </row>
    <row r="324">
      <c r="A324" s="1" t="n">
        <v>45717</v>
      </c>
      <c r="B324" t="inlineStr"/>
      <c r="C324" t="inlineStr">
        <is>
          <t>Accounting</t>
        </is>
      </c>
      <c r="D324" t="n">
        <v>1566.87</v>
      </c>
    </row>
    <row r="325">
      <c r="A325" s="1" t="n">
        <v>45717</v>
      </c>
      <c r="B325" t="inlineStr"/>
      <c r="C325" t="inlineStr">
        <is>
          <t>Advertising</t>
        </is>
      </c>
      <c r="D325" t="n">
        <v>32.25</v>
      </c>
    </row>
    <row r="326">
      <c r="A326" s="1" t="n">
        <v>45717</v>
      </c>
      <c r="B326" t="inlineStr"/>
      <c r="C326" t="inlineStr">
        <is>
          <t>Appliances</t>
        </is>
      </c>
      <c r="D326" t="n">
        <v>24927.62</v>
      </c>
    </row>
    <row r="327">
      <c r="A327" s="1" t="n">
        <v>45717</v>
      </c>
      <c r="B327" t="inlineStr"/>
      <c r="C327" t="inlineStr">
        <is>
          <t>Application Fees</t>
        </is>
      </c>
      <c r="D327" t="n">
        <v>530</v>
      </c>
    </row>
    <row r="328">
      <c r="A328" s="1" t="n">
        <v>45717</v>
      </c>
      <c r="B328" t="inlineStr"/>
      <c r="C328" t="inlineStr">
        <is>
          <t>Bank Fees</t>
        </is>
      </c>
      <c r="D328" t="n">
        <v>149.09</v>
      </c>
    </row>
    <row r="329">
      <c r="A329" s="1" t="n">
        <v>45717</v>
      </c>
      <c r="B329" t="inlineStr"/>
      <c r="C329" t="inlineStr">
        <is>
          <t>CASH FLOW AFTER DEBT SERVICE</t>
        </is>
      </c>
      <c r="D329" t="n">
        <v>8933.699999999961</v>
      </c>
    </row>
    <row r="330">
      <c r="A330" s="1" t="n">
        <v>45717</v>
      </c>
      <c r="B330" t="inlineStr"/>
      <c r="C330" t="inlineStr">
        <is>
          <t>Cabinets</t>
        </is>
      </c>
      <c r="D330" t="n">
        <v>7410.83</v>
      </c>
    </row>
    <row r="331">
      <c r="A331" s="1" t="n">
        <v>45717</v>
      </c>
      <c r="B331" t="inlineStr"/>
      <c r="C331" t="inlineStr">
        <is>
          <t>Cap Rate</t>
        </is>
      </c>
      <c r="D331" t="n">
        <v>0.05513984999999996</v>
      </c>
    </row>
    <row r="332">
      <c r="A332" s="1" t="n">
        <v>45717</v>
      </c>
      <c r="B332" t="inlineStr"/>
      <c r="C332" t="inlineStr">
        <is>
          <t>Cash-on-Cash (Ann.)</t>
        </is>
      </c>
      <c r="D332" t="n">
        <v>-0.1844242995594715</v>
      </c>
    </row>
    <row r="333">
      <c r="A333" s="1" t="n">
        <v>45717</v>
      </c>
      <c r="B333" t="inlineStr"/>
      <c r="C333" t="inlineStr">
        <is>
          <t>Cash-on-Cash (CFADS)</t>
        </is>
      </c>
      <c r="D333" t="n">
        <v>0.02361330396475761</v>
      </c>
    </row>
    <row r="334">
      <c r="A334" s="1" t="n">
        <v>45717</v>
      </c>
      <c r="B334" t="inlineStr"/>
      <c r="C334" t="inlineStr">
        <is>
          <t>Cleaning &amp; Maint</t>
        </is>
      </c>
      <c r="D334" t="n">
        <v>-411.66</v>
      </c>
    </row>
    <row r="335">
      <c r="A335" s="1" t="n">
        <v>45717</v>
      </c>
      <c r="B335" t="inlineStr"/>
      <c r="C335" t="inlineStr">
        <is>
          <t>Common Area Cleaning</t>
        </is>
      </c>
      <c r="D335" t="n">
        <v>1300</v>
      </c>
    </row>
    <row r="336">
      <c r="A336" s="1" t="n">
        <v>45717</v>
      </c>
      <c r="B336" t="inlineStr"/>
      <c r="C336" t="inlineStr">
        <is>
          <t>DSCR</t>
        </is>
      </c>
      <c r="D336" t="n">
        <v>1.193344392467236</v>
      </c>
    </row>
    <row r="337">
      <c r="A337" s="1" t="n">
        <v>45717</v>
      </c>
      <c r="B337" t="inlineStr"/>
      <c r="C337" t="inlineStr">
        <is>
          <t>Delinquency</t>
        </is>
      </c>
      <c r="D337" t="n">
        <v>14011.33</v>
      </c>
    </row>
    <row r="338">
      <c r="A338" s="1" t="n">
        <v>45717</v>
      </c>
      <c r="B338" t="inlineStr"/>
      <c r="C338" t="inlineStr">
        <is>
          <t>EFFECTIVE GROSS INCOME (EGI)</t>
        </is>
      </c>
      <c r="D338" t="n">
        <v>164951.02</v>
      </c>
    </row>
    <row r="339">
      <c r="A339" s="1" t="n">
        <v>45717</v>
      </c>
      <c r="B339" t="inlineStr"/>
      <c r="C339" t="inlineStr">
        <is>
          <t>Effective Rental Income</t>
        </is>
      </c>
      <c r="D339" t="n">
        <v>157773</v>
      </c>
    </row>
    <row r="340">
      <c r="A340" s="1" t="n">
        <v>45717</v>
      </c>
      <c r="B340" t="inlineStr"/>
      <c r="C340" t="inlineStr">
        <is>
          <t>Electricity</t>
        </is>
      </c>
      <c r="D340" t="n">
        <v>268.52</v>
      </c>
    </row>
    <row r="341">
      <c r="A341" s="1" t="n">
        <v>45717</v>
      </c>
      <c r="B341" t="inlineStr"/>
      <c r="C341" t="inlineStr">
        <is>
          <t>Expense Ratio</t>
        </is>
      </c>
      <c r="D341" t="n">
        <v>0.6657198603561229</v>
      </c>
    </row>
    <row r="342">
      <c r="A342" s="1" t="n">
        <v>45717</v>
      </c>
      <c r="B342" t="inlineStr"/>
      <c r="C342" t="inlineStr">
        <is>
          <t>Flooring</t>
        </is>
      </c>
      <c r="D342" t="n">
        <v>900</v>
      </c>
    </row>
    <row r="343">
      <c r="A343" s="1" t="n">
        <v>45717</v>
      </c>
      <c r="B343" t="inlineStr"/>
      <c r="C343" t="inlineStr">
        <is>
          <t>Garbage &amp; Recycling</t>
        </is>
      </c>
      <c r="D343" t="n">
        <v>1437.27</v>
      </c>
    </row>
    <row r="344">
      <c r="A344" s="1" t="n">
        <v>45717</v>
      </c>
      <c r="B344" t="inlineStr"/>
      <c r="C344" t="inlineStr">
        <is>
          <t>Gas</t>
        </is>
      </c>
      <c r="D344" t="n">
        <v>11746.41</v>
      </c>
    </row>
    <row r="345">
      <c r="A345" s="1" t="n">
        <v>45717</v>
      </c>
      <c r="B345" t="inlineStr"/>
      <c r="C345" t="inlineStr">
        <is>
          <t>General Maint. Labor</t>
        </is>
      </c>
      <c r="D345" t="n">
        <v>7429.6</v>
      </c>
    </row>
    <row r="346">
      <c r="A346" s="1" t="n">
        <v>45717</v>
      </c>
      <c r="B346" t="inlineStr"/>
      <c r="C346" t="inlineStr">
        <is>
          <t>Gross Potential Rent</t>
        </is>
      </c>
      <c r="D346" t="n">
        <v>167205.8</v>
      </c>
    </row>
    <row r="347">
      <c r="A347" s="1" t="n">
        <v>45717</v>
      </c>
      <c r="B347" t="inlineStr"/>
      <c r="C347" t="inlineStr">
        <is>
          <t>Hardware</t>
        </is>
      </c>
      <c r="D347" t="n">
        <v>3897.64</v>
      </c>
    </row>
    <row r="348">
      <c r="A348" s="1" t="n">
        <v>45717</v>
      </c>
      <c r="B348" t="inlineStr"/>
      <c r="C348" t="inlineStr">
        <is>
          <t>Insurance Services</t>
        </is>
      </c>
      <c r="D348" t="n">
        <v>85</v>
      </c>
    </row>
    <row r="349">
      <c r="A349" s="1" t="n">
        <v>45717</v>
      </c>
      <c r="B349" t="inlineStr"/>
      <c r="C349" t="inlineStr">
        <is>
          <t>Interest</t>
        </is>
      </c>
      <c r="D349" t="n">
        <v>37447.78</v>
      </c>
    </row>
    <row r="350">
      <c r="A350" s="1" t="n">
        <v>45717</v>
      </c>
      <c r="B350" t="inlineStr"/>
      <c r="C350" t="inlineStr">
        <is>
          <t>Interest Income</t>
        </is>
      </c>
      <c r="D350" t="n">
        <v>488.02</v>
      </c>
    </row>
    <row r="351">
      <c r="A351" s="1" t="n">
        <v>45717</v>
      </c>
      <c r="B351" t="inlineStr"/>
      <c r="C351" t="inlineStr">
        <is>
          <t>Internet</t>
        </is>
      </c>
      <c r="D351" t="n">
        <v>1219.64</v>
      </c>
    </row>
    <row r="352">
      <c r="A352" s="1" t="n">
        <v>45717</v>
      </c>
      <c r="B352" t="inlineStr"/>
      <c r="C352" t="inlineStr">
        <is>
          <t>Internet Charges</t>
        </is>
      </c>
      <c r="D352" t="n">
        <v>1205</v>
      </c>
    </row>
    <row r="353">
      <c r="A353" s="1" t="n">
        <v>45717</v>
      </c>
      <c r="B353" t="inlineStr"/>
      <c r="C353" t="inlineStr">
        <is>
          <t>Janitorial</t>
        </is>
      </c>
      <c r="D353" t="n">
        <v>487.3</v>
      </c>
    </row>
    <row r="354">
      <c r="A354" s="1" t="n">
        <v>45717</v>
      </c>
      <c r="B354" t="inlineStr"/>
      <c r="C354" t="inlineStr">
        <is>
          <t>Labor</t>
        </is>
      </c>
      <c r="D354" t="n">
        <v>20070</v>
      </c>
    </row>
    <row r="355">
      <c r="A355" s="1" t="n">
        <v>45717</v>
      </c>
      <c r="B355" t="inlineStr"/>
      <c r="C355" t="inlineStr">
        <is>
          <t>Late Fees</t>
        </is>
      </c>
      <c r="D355" t="n">
        <v>2565</v>
      </c>
    </row>
    <row r="356">
      <c r="A356" s="1" t="n">
        <v>45717</v>
      </c>
      <c r="B356" t="inlineStr"/>
      <c r="C356" t="inlineStr">
        <is>
          <t>Legal</t>
        </is>
      </c>
      <c r="D356" t="n">
        <v>-634</v>
      </c>
    </row>
    <row r="357">
      <c r="A357" s="1" t="n">
        <v>45717</v>
      </c>
      <c r="B357" t="inlineStr"/>
      <c r="C357" t="inlineStr">
        <is>
          <t>Loss/Gain to Market</t>
        </is>
      </c>
      <c r="D357" t="n">
        <v>-16538.33</v>
      </c>
    </row>
    <row r="358">
      <c r="A358" s="1" t="n">
        <v>45717</v>
      </c>
      <c r="B358" t="inlineStr"/>
      <c r="C358" t="inlineStr">
        <is>
          <t>Management Fee (4%)</t>
        </is>
      </c>
      <c r="D358" t="n">
        <v>6079.41</v>
      </c>
    </row>
    <row r="359">
      <c r="A359" s="1" t="n">
        <v>45717</v>
      </c>
      <c r="B359" t="inlineStr"/>
      <c r="C359" t="inlineStr">
        <is>
          <t>Meals</t>
        </is>
      </c>
      <c r="D359" t="n">
        <v>314.09</v>
      </c>
    </row>
    <row r="360">
      <c r="A360" s="1" t="n">
        <v>45717</v>
      </c>
      <c r="B360" t="inlineStr"/>
      <c r="C360" t="inlineStr">
        <is>
          <t>Monthly Cash-on-Cash (Ann.)</t>
        </is>
      </c>
      <c r="D360" t="n">
        <v>0.08</v>
      </c>
    </row>
    <row r="361">
      <c r="A361" s="1" t="n">
        <v>45717</v>
      </c>
      <c r="B361" t="inlineStr"/>
      <c r="C361" t="inlineStr">
        <is>
          <t>Move-In Fees</t>
        </is>
      </c>
      <c r="D361" t="n">
        <v>2250</v>
      </c>
    </row>
    <row r="362">
      <c r="A362" s="1" t="n">
        <v>45717</v>
      </c>
      <c r="B362" t="inlineStr"/>
      <c r="C362" t="inlineStr">
        <is>
          <t>NET CASH FLOW</t>
        </is>
      </c>
      <c r="D362" t="n">
        <v>-69773.86000000004</v>
      </c>
    </row>
    <row r="363">
      <c r="A363" s="1" t="n">
        <v>45717</v>
      </c>
      <c r="B363" t="inlineStr"/>
      <c r="C363" t="inlineStr">
        <is>
          <t>NET OPERATING INCOME (NOI)</t>
        </is>
      </c>
      <c r="D363" t="n">
        <v>55139.84999999996</v>
      </c>
    </row>
    <row r="364">
      <c r="A364" s="1" t="n">
        <v>45717</v>
      </c>
      <c r="B364" t="inlineStr"/>
      <c r="C364" t="inlineStr">
        <is>
          <t>NSF Fees</t>
        </is>
      </c>
      <c r="D364" t="n">
        <v>55</v>
      </c>
    </row>
    <row r="365">
      <c r="A365" s="1" t="n">
        <v>45717</v>
      </c>
      <c r="B365" t="inlineStr"/>
      <c r="C365" t="inlineStr">
        <is>
          <t>Payroll</t>
        </is>
      </c>
      <c r="D365" t="n">
        <v>2422.5</v>
      </c>
    </row>
    <row r="366">
      <c r="A366" s="1" t="n">
        <v>45717</v>
      </c>
      <c r="B366" t="inlineStr"/>
      <c r="C366" t="inlineStr">
        <is>
          <t>Principal</t>
        </is>
      </c>
      <c r="D366" t="n">
        <v>8758.370000000001</v>
      </c>
    </row>
    <row r="367">
      <c r="A367" s="1" t="n">
        <v>45717</v>
      </c>
      <c r="B367" t="inlineStr"/>
      <c r="C367" t="inlineStr">
        <is>
          <t>Professional - Other</t>
        </is>
      </c>
      <c r="D367" t="n">
        <v>-250</v>
      </c>
    </row>
    <row r="368">
      <c r="A368" s="1" t="n">
        <v>45717</v>
      </c>
      <c r="B368" t="inlineStr"/>
      <c r="C368" t="inlineStr">
        <is>
          <t>Property Insurance</t>
        </is>
      </c>
      <c r="D368" t="n">
        <v>11948</v>
      </c>
    </row>
    <row r="369">
      <c r="A369" s="1" t="n">
        <v>45717</v>
      </c>
      <c r="B369" t="inlineStr"/>
      <c r="C369" t="inlineStr">
        <is>
          <t>Real Estate Taxes</t>
        </is>
      </c>
      <c r="D369" t="n">
        <v>18823.25</v>
      </c>
    </row>
    <row r="370">
      <c r="A370" s="1" t="n">
        <v>45717</v>
      </c>
      <c r="B370" t="inlineStr"/>
      <c r="C370" t="inlineStr">
        <is>
          <t>Security Service</t>
        </is>
      </c>
      <c r="D370" t="n">
        <v>5570.38</v>
      </c>
    </row>
    <row r="371">
      <c r="A371" s="1" t="n">
        <v>45717</v>
      </c>
      <c r="B371" t="inlineStr"/>
      <c r="C371" t="inlineStr">
        <is>
          <t>Supplies</t>
        </is>
      </c>
      <c r="D371" t="n">
        <v>21501.47</v>
      </c>
    </row>
    <row r="372">
      <c r="A372" s="1" t="n">
        <v>45717</v>
      </c>
      <c r="B372" t="inlineStr"/>
      <c r="C372" t="inlineStr">
        <is>
          <t>Total Capital Expenditures</t>
        </is>
      </c>
      <c r="D372" t="n">
        <v>78707.56</v>
      </c>
    </row>
    <row r="373">
      <c r="A373" s="1" t="n">
        <v>45717</v>
      </c>
      <c r="B373" t="inlineStr"/>
      <c r="C373" t="inlineStr">
        <is>
          <t>Total Debt Service</t>
        </is>
      </c>
      <c r="D373" t="n">
        <v>46206.15</v>
      </c>
    </row>
    <row r="374">
      <c r="A374" s="1" t="n">
        <v>45717</v>
      </c>
      <c r="B374" t="inlineStr"/>
      <c r="C374" t="inlineStr">
        <is>
          <t>Total Operating Expenses</t>
        </is>
      </c>
      <c r="D374" t="n">
        <v>109811.17</v>
      </c>
    </row>
    <row r="375">
      <c r="A375" s="1" t="n">
        <v>45717</v>
      </c>
      <c r="B375" t="inlineStr"/>
      <c r="C375" t="inlineStr">
        <is>
          <t>Total Other Income</t>
        </is>
      </c>
      <c r="D375" t="n">
        <v>7178.02</v>
      </c>
    </row>
    <row r="376">
      <c r="A376" s="1" t="n">
        <v>45717</v>
      </c>
      <c r="B376" t="inlineStr"/>
      <c r="C376" t="inlineStr">
        <is>
          <t>Vacancy</t>
        </is>
      </c>
      <c r="D376" t="n">
        <v>-6905.8</v>
      </c>
    </row>
    <row r="377">
      <c r="A377" s="1" t="n">
        <v>45717</v>
      </c>
      <c r="B377" t="inlineStr"/>
      <c r="C377" t="inlineStr">
        <is>
          <t>Water</t>
        </is>
      </c>
      <c r="D377" t="n">
        <v>17910.78</v>
      </c>
    </row>
    <row r="378">
      <c r="A378" s="1" t="n">
        <v>45748</v>
      </c>
      <c r="B378" t="inlineStr"/>
      <c r="C378" t="inlineStr">
        <is>
          <t>Application Fees</t>
        </is>
      </c>
      <c r="D378" t="n">
        <v>520</v>
      </c>
    </row>
    <row r="379">
      <c r="A379" s="1" t="n">
        <v>45748</v>
      </c>
      <c r="B379" t="inlineStr"/>
      <c r="C379" t="inlineStr">
        <is>
          <t>Bank Fees</t>
        </is>
      </c>
      <c r="D379" t="n">
        <v>14</v>
      </c>
    </row>
    <row r="380">
      <c r="A380" s="1" t="n">
        <v>45748</v>
      </c>
      <c r="B380" t="inlineStr"/>
      <c r="C380" t="inlineStr">
        <is>
          <t>CASH FLOW AFTER DEBT SERVICE</t>
        </is>
      </c>
      <c r="D380" t="n">
        <v>48939.51000000002</v>
      </c>
    </row>
    <row r="381">
      <c r="A381" s="1" t="n">
        <v>45748</v>
      </c>
      <c r="B381" t="inlineStr"/>
      <c r="C381" t="inlineStr">
        <is>
          <t>Cap Rate</t>
        </is>
      </c>
      <c r="D381" t="n">
        <v>0.10047356</v>
      </c>
    </row>
    <row r="382">
      <c r="A382" s="1" t="n">
        <v>45748</v>
      </c>
      <c r="B382" t="inlineStr"/>
      <c r="C382" t="inlineStr">
        <is>
          <t>Carpet Cleaning</t>
        </is>
      </c>
      <c r="D382" t="n">
        <v>366.65</v>
      </c>
    </row>
    <row r="383">
      <c r="A383" s="1" t="n">
        <v>45748</v>
      </c>
      <c r="B383" t="inlineStr"/>
      <c r="C383" t="inlineStr">
        <is>
          <t>Cash-on-Cash (Ann.)</t>
        </is>
      </c>
      <c r="D383" t="n">
        <v>0.05752752422907495</v>
      </c>
    </row>
    <row r="384">
      <c r="A384" s="1" t="n">
        <v>45748</v>
      </c>
      <c r="B384" t="inlineStr"/>
      <c r="C384" t="inlineStr">
        <is>
          <t>Cash-on-Cash (CFADS)</t>
        </is>
      </c>
      <c r="D384" t="n">
        <v>0.1293555330396476</v>
      </c>
    </row>
    <row r="385">
      <c r="A385" s="1" t="n">
        <v>45748</v>
      </c>
      <c r="B385" t="inlineStr"/>
      <c r="C385" t="inlineStr">
        <is>
          <t>Cleaning &amp; Maint</t>
        </is>
      </c>
      <c r="D385" t="n">
        <v>1175</v>
      </c>
    </row>
    <row r="386">
      <c r="A386" s="1" t="n">
        <v>45748</v>
      </c>
      <c r="B386" t="inlineStr"/>
      <c r="C386" t="inlineStr">
        <is>
          <t>Common Area Cleaning</t>
        </is>
      </c>
      <c r="D386" t="n">
        <v>1300</v>
      </c>
    </row>
    <row r="387">
      <c r="A387" s="1" t="n">
        <v>45748</v>
      </c>
      <c r="B387" t="inlineStr"/>
      <c r="C387" t="inlineStr">
        <is>
          <t>Concessions</t>
        </is>
      </c>
      <c r="D387" t="n">
        <v>-324</v>
      </c>
    </row>
    <row r="388">
      <c r="A388" s="1" t="n">
        <v>45748</v>
      </c>
      <c r="B388" t="inlineStr"/>
      <c r="C388" t="inlineStr">
        <is>
          <t>DSCR</t>
        </is>
      </c>
      <c r="D388" t="n">
        <v>1.949653869626005</v>
      </c>
    </row>
    <row r="389">
      <c r="A389" s="1" t="n">
        <v>45748</v>
      </c>
      <c r="B389" t="inlineStr"/>
      <c r="C389" t="inlineStr">
        <is>
          <t>Delinquency</t>
        </is>
      </c>
      <c r="D389" t="n">
        <v>-6903.61</v>
      </c>
    </row>
    <row r="390">
      <c r="A390" s="1" t="n">
        <v>45748</v>
      </c>
      <c r="B390" t="inlineStr"/>
      <c r="C390" t="inlineStr">
        <is>
          <t>Deposit Forfeit</t>
        </is>
      </c>
      <c r="D390" t="n">
        <v>150</v>
      </c>
    </row>
    <row r="391">
      <c r="A391" s="1" t="n">
        <v>45748</v>
      </c>
      <c r="B391" t="inlineStr"/>
      <c r="C391" t="inlineStr">
        <is>
          <t>EFFECTIVE GROSS INCOME (EGI)</t>
        </is>
      </c>
      <c r="D391" t="n">
        <v>158376.78</v>
      </c>
    </row>
    <row r="392">
      <c r="A392" s="1" t="n">
        <v>45748</v>
      </c>
      <c r="B392" t="inlineStr"/>
      <c r="C392" t="inlineStr">
        <is>
          <t>Effective Rental Income</t>
        </is>
      </c>
      <c r="D392" t="n">
        <v>150087.39</v>
      </c>
    </row>
    <row r="393">
      <c r="A393" s="1" t="n">
        <v>45748</v>
      </c>
      <c r="B393" t="inlineStr"/>
      <c r="C393" t="inlineStr">
        <is>
          <t>Electricity</t>
        </is>
      </c>
      <c r="D393" t="n">
        <v>1922.97</v>
      </c>
    </row>
    <row r="394">
      <c r="A394" s="1" t="n">
        <v>45748</v>
      </c>
      <c r="B394" t="inlineStr"/>
      <c r="C394" t="inlineStr">
        <is>
          <t>Expense Ratio</t>
        </is>
      </c>
      <c r="D394" t="n">
        <v>0.3656042255689249</v>
      </c>
    </row>
    <row r="395">
      <c r="A395" s="1" t="n">
        <v>45748</v>
      </c>
      <c r="B395" t="inlineStr"/>
      <c r="C395" t="inlineStr">
        <is>
          <t>Gas</t>
        </is>
      </c>
      <c r="D395" t="n">
        <v>8111.27</v>
      </c>
    </row>
    <row r="396">
      <c r="A396" s="1" t="n">
        <v>45748</v>
      </c>
      <c r="B396" t="inlineStr"/>
      <c r="C396" t="inlineStr">
        <is>
          <t>General Maint. Labor</t>
        </is>
      </c>
      <c r="D396" t="n">
        <v>8794</v>
      </c>
    </row>
    <row r="397">
      <c r="A397" s="1" t="n">
        <v>45748</v>
      </c>
      <c r="B397" t="inlineStr"/>
      <c r="C397" t="inlineStr">
        <is>
          <t>Gross Potential Rent</t>
        </is>
      </c>
      <c r="D397" t="n">
        <v>167200</v>
      </c>
    </row>
    <row r="398">
      <c r="A398" s="1" t="n">
        <v>45748</v>
      </c>
      <c r="B398" t="inlineStr"/>
      <c r="C398" t="inlineStr">
        <is>
          <t>Insurance Services</t>
        </is>
      </c>
      <c r="D398" t="n">
        <v>305</v>
      </c>
    </row>
    <row r="399">
      <c r="A399" s="1" t="n">
        <v>45748</v>
      </c>
      <c r="B399" t="inlineStr"/>
      <c r="C399" t="inlineStr">
        <is>
          <t>Interest</t>
        </is>
      </c>
      <c r="D399" t="n">
        <v>41400.44</v>
      </c>
    </row>
    <row r="400">
      <c r="A400" s="1" t="n">
        <v>45748</v>
      </c>
      <c r="B400" t="inlineStr"/>
      <c r="C400" t="inlineStr">
        <is>
          <t>Interest Income</t>
        </is>
      </c>
      <c r="D400" t="n">
        <v>418.39</v>
      </c>
    </row>
    <row r="401">
      <c r="A401" s="1" t="n">
        <v>45748</v>
      </c>
      <c r="B401" t="inlineStr"/>
      <c r="C401" t="inlineStr">
        <is>
          <t>Internet Charges</t>
        </is>
      </c>
      <c r="D401" t="n">
        <v>1211</v>
      </c>
    </row>
    <row r="402">
      <c r="A402" s="1" t="n">
        <v>45748</v>
      </c>
      <c r="B402" t="inlineStr"/>
      <c r="C402" t="inlineStr">
        <is>
          <t>Labor</t>
        </is>
      </c>
      <c r="D402" t="n">
        <v>27615</v>
      </c>
    </row>
    <row r="403">
      <c r="A403" s="1" t="n">
        <v>45748</v>
      </c>
      <c r="B403" t="inlineStr"/>
      <c r="C403" t="inlineStr">
        <is>
          <t>Late Fees</t>
        </is>
      </c>
      <c r="D403" t="n">
        <v>1185</v>
      </c>
    </row>
    <row r="404">
      <c r="A404" s="1" t="n">
        <v>45748</v>
      </c>
      <c r="B404" t="inlineStr"/>
      <c r="C404" t="inlineStr">
        <is>
          <t>Legal</t>
        </is>
      </c>
      <c r="D404" t="n">
        <v>-41</v>
      </c>
    </row>
    <row r="405">
      <c r="A405" s="1" t="n">
        <v>45748</v>
      </c>
      <c r="B405" t="inlineStr"/>
      <c r="C405" t="inlineStr">
        <is>
          <t>Loss/Gain to Market</t>
        </is>
      </c>
      <c r="D405" t="n">
        <v>-4098.33</v>
      </c>
    </row>
    <row r="406">
      <c r="A406" s="1" t="n">
        <v>45748</v>
      </c>
      <c r="B406" t="inlineStr"/>
      <c r="C406" t="inlineStr">
        <is>
          <t>Management Fee (4%)</t>
        </is>
      </c>
      <c r="D406" t="n">
        <v>6564.65</v>
      </c>
    </row>
    <row r="407">
      <c r="A407" s="1" t="n">
        <v>45748</v>
      </c>
      <c r="B407" t="inlineStr"/>
      <c r="C407" t="inlineStr">
        <is>
          <t>Monthly Cash-on-Cash (Ann.)</t>
        </is>
      </c>
      <c r="D407" t="n">
        <v>0.13</v>
      </c>
    </row>
    <row r="408">
      <c r="A408" s="1" t="n">
        <v>45748</v>
      </c>
      <c r="B408" t="inlineStr"/>
      <c r="C408" t="inlineStr">
        <is>
          <t>Move-In Fees</t>
        </is>
      </c>
      <c r="D408" t="n">
        <v>4500</v>
      </c>
    </row>
    <row r="409">
      <c r="A409" s="1" t="n">
        <v>45748</v>
      </c>
      <c r="B409" t="inlineStr"/>
      <c r="C409" t="inlineStr">
        <is>
          <t>NET CASH FLOW</t>
        </is>
      </c>
      <c r="D409" t="n">
        <v>21764.58000000002</v>
      </c>
    </row>
    <row r="410">
      <c r="A410" s="1" t="n">
        <v>45748</v>
      </c>
      <c r="B410" t="inlineStr"/>
      <c r="C410" t="inlineStr">
        <is>
          <t>NET OPERATING INCOME (NOI)</t>
        </is>
      </c>
      <c r="D410" t="n">
        <v>100473.56</v>
      </c>
    </row>
    <row r="411">
      <c r="A411" s="1" t="n">
        <v>45748</v>
      </c>
      <c r="B411" t="inlineStr"/>
      <c r="C411" t="inlineStr">
        <is>
          <t>Payroll</t>
        </is>
      </c>
      <c r="D411" t="n">
        <v>2332.5</v>
      </c>
    </row>
    <row r="412">
      <c r="A412" s="1" t="n">
        <v>45748</v>
      </c>
      <c r="B412" t="inlineStr"/>
      <c r="C412" t="inlineStr">
        <is>
          <t>Principal</t>
        </is>
      </c>
      <c r="D412" t="n">
        <v>10133.61</v>
      </c>
    </row>
    <row r="413">
      <c r="A413" s="1" t="n">
        <v>45748</v>
      </c>
      <c r="B413" t="inlineStr"/>
      <c r="C413" t="inlineStr">
        <is>
          <t>Property Insurance</t>
        </is>
      </c>
      <c r="D413" t="n">
        <v>8980</v>
      </c>
    </row>
    <row r="414">
      <c r="A414" s="1" t="n">
        <v>45748</v>
      </c>
      <c r="B414" t="inlineStr"/>
      <c r="C414" t="inlineStr">
        <is>
          <t>Real Estate Taxes</t>
        </is>
      </c>
      <c r="D414" t="n">
        <v>18823.25</v>
      </c>
    </row>
    <row r="415">
      <c r="A415" s="1" t="n">
        <v>45748</v>
      </c>
      <c r="B415" t="inlineStr"/>
      <c r="C415" t="inlineStr">
        <is>
          <t>Supplies</t>
        </is>
      </c>
      <c r="D415" t="n">
        <v>-440.07</v>
      </c>
    </row>
    <row r="416">
      <c r="A416" s="1" t="n">
        <v>45748</v>
      </c>
      <c r="B416" t="inlineStr"/>
      <c r="C416" t="inlineStr">
        <is>
          <t>Total Capital Expenditures</t>
        </is>
      </c>
      <c r="D416" t="n">
        <v>27174.93</v>
      </c>
    </row>
    <row r="417">
      <c r="A417" s="1" t="n">
        <v>45748</v>
      </c>
      <c r="B417" t="inlineStr"/>
      <c r="C417" t="inlineStr">
        <is>
          <t>Total Debt Service</t>
        </is>
      </c>
      <c r="D417" t="n">
        <v>51534.05</v>
      </c>
    </row>
    <row r="418">
      <c r="A418" s="1" t="n">
        <v>45748</v>
      </c>
      <c r="B418" t="inlineStr"/>
      <c r="C418" t="inlineStr">
        <is>
          <t>Total Operating Expenses</t>
        </is>
      </c>
      <c r="D418" t="n">
        <v>57903.22000000001</v>
      </c>
    </row>
    <row r="419">
      <c r="A419" s="1" t="n">
        <v>45748</v>
      </c>
      <c r="B419" t="inlineStr"/>
      <c r="C419" t="inlineStr">
        <is>
          <t>Total Other Income</t>
        </is>
      </c>
      <c r="D419" t="n">
        <v>8289.389999999999</v>
      </c>
    </row>
    <row r="420">
      <c r="A420" s="1" t="n">
        <v>45748</v>
      </c>
      <c r="B420" t="inlineStr"/>
      <c r="C420" t="inlineStr">
        <is>
          <t>Vacancy</t>
        </is>
      </c>
      <c r="D420" t="n">
        <v>-5786.67</v>
      </c>
    </row>
    <row r="421">
      <c r="A421" s="1" t="n">
        <v>45778</v>
      </c>
      <c r="B421" t="inlineStr"/>
      <c r="C421" t="inlineStr">
        <is>
          <t>Accounting</t>
        </is>
      </c>
      <c r="D421" t="n">
        <v>1863.11</v>
      </c>
    </row>
    <row r="422">
      <c r="A422" s="1" t="n">
        <v>45778</v>
      </c>
      <c r="B422" t="inlineStr"/>
      <c r="C422" t="inlineStr">
        <is>
          <t>Appliances</t>
        </is>
      </c>
      <c r="D422" t="n">
        <v>8316.200000000001</v>
      </c>
    </row>
    <row r="423">
      <c r="A423" s="1" t="n">
        <v>45778</v>
      </c>
      <c r="B423" t="inlineStr"/>
      <c r="C423" t="inlineStr">
        <is>
          <t>Application Fees</t>
        </is>
      </c>
      <c r="D423" t="n">
        <v>135</v>
      </c>
    </row>
    <row r="424">
      <c r="A424" s="1" t="n">
        <v>45778</v>
      </c>
      <c r="B424" t="inlineStr"/>
      <c r="C424" t="inlineStr">
        <is>
          <t>Bank Fees</t>
        </is>
      </c>
      <c r="D424" t="n">
        <v>10</v>
      </c>
    </row>
    <row r="425">
      <c r="A425" s="1" t="n">
        <v>45778</v>
      </c>
      <c r="B425" t="inlineStr"/>
      <c r="C425" t="inlineStr">
        <is>
          <t>CASH FLOW AFTER DEBT SERVICE</t>
        </is>
      </c>
      <c r="D425" t="n">
        <v>17435.10999999999</v>
      </c>
    </row>
    <row r="426">
      <c r="A426" s="1" t="n">
        <v>45778</v>
      </c>
      <c r="B426" t="inlineStr"/>
      <c r="C426" t="inlineStr">
        <is>
          <t>Cabinets</t>
        </is>
      </c>
      <c r="D426" t="n">
        <v>9852.75</v>
      </c>
    </row>
    <row r="427">
      <c r="A427" s="1" t="n">
        <v>45778</v>
      </c>
      <c r="B427" t="inlineStr"/>
      <c r="C427" t="inlineStr">
        <is>
          <t>Cap Rate</t>
        </is>
      </c>
      <c r="D427" t="n">
        <v>0.06759480999999998</v>
      </c>
    </row>
    <row r="428">
      <c r="A428" s="1" t="n">
        <v>45778</v>
      </c>
      <c r="B428" t="inlineStr"/>
      <c r="C428" t="inlineStr">
        <is>
          <t>Cash-on-Cash (Ann.)</t>
        </is>
      </c>
      <c r="D428" t="n">
        <v>-0.103988114537445</v>
      </c>
    </row>
    <row r="429">
      <c r="A429" s="1" t="n">
        <v>45778</v>
      </c>
      <c r="B429" t="inlineStr"/>
      <c r="C429" t="inlineStr">
        <is>
          <t>Cash-on-Cash (CFADS)</t>
        </is>
      </c>
      <c r="D429" t="n">
        <v>0.04608399118942728</v>
      </c>
    </row>
    <row r="430">
      <c r="A430" s="1" t="n">
        <v>45778</v>
      </c>
      <c r="B430" t="inlineStr"/>
      <c r="C430" t="inlineStr">
        <is>
          <t>Cleaning &amp; Maint</t>
        </is>
      </c>
      <c r="D430" t="n">
        <v>1600</v>
      </c>
    </row>
    <row r="431">
      <c r="A431" s="1" t="n">
        <v>45778</v>
      </c>
      <c r="B431" t="inlineStr"/>
      <c r="C431" t="inlineStr">
        <is>
          <t>Common Area Cleaning</t>
        </is>
      </c>
      <c r="D431" t="n">
        <v>1300</v>
      </c>
    </row>
    <row r="432">
      <c r="A432" s="1" t="n">
        <v>45778</v>
      </c>
      <c r="B432" t="inlineStr"/>
      <c r="C432" t="inlineStr">
        <is>
          <t>Concessions</t>
        </is>
      </c>
      <c r="D432" t="n">
        <v>-30</v>
      </c>
    </row>
    <row r="433">
      <c r="A433" s="1" t="n">
        <v>45778</v>
      </c>
      <c r="B433" t="inlineStr"/>
      <c r="C433" t="inlineStr">
        <is>
          <t>DSCR</t>
        </is>
      </c>
      <c r="D433" t="n">
        <v>1.34759199118017</v>
      </c>
    </row>
    <row r="434">
      <c r="A434" s="1" t="n">
        <v>45778</v>
      </c>
      <c r="B434" t="inlineStr"/>
      <c r="C434" t="inlineStr">
        <is>
          <t>Delinquency</t>
        </is>
      </c>
      <c r="D434" t="n">
        <v>-5640</v>
      </c>
    </row>
    <row r="435">
      <c r="A435" s="1" t="n">
        <v>45778</v>
      </c>
      <c r="B435" t="inlineStr"/>
      <c r="C435" t="inlineStr">
        <is>
          <t>EFFECTIVE GROSS INCOME (EGI)</t>
        </is>
      </c>
      <c r="D435" t="n">
        <v>150176.05</v>
      </c>
    </row>
    <row r="436">
      <c r="A436" s="1" t="n">
        <v>45778</v>
      </c>
      <c r="B436" t="inlineStr"/>
      <c r="C436" t="inlineStr">
        <is>
          <t>Effective Rental Income</t>
        </is>
      </c>
      <c r="D436" t="n">
        <v>140140</v>
      </c>
    </row>
    <row r="437">
      <c r="A437" s="1" t="n">
        <v>45778</v>
      </c>
      <c r="B437" t="inlineStr"/>
      <c r="C437" t="inlineStr">
        <is>
          <t>Electricity</t>
        </is>
      </c>
      <c r="D437" t="n">
        <v>1456.53</v>
      </c>
    </row>
    <row r="438">
      <c r="A438" s="1" t="n">
        <v>45778</v>
      </c>
      <c r="B438" t="inlineStr"/>
      <c r="C438" t="inlineStr">
        <is>
          <t>Expense Ratio</t>
        </is>
      </c>
      <c r="D438" t="n">
        <v>0.5498962051538845</v>
      </c>
    </row>
    <row r="439">
      <c r="A439" s="1" t="n">
        <v>45778</v>
      </c>
      <c r="B439" t="inlineStr"/>
      <c r="C439" t="inlineStr">
        <is>
          <t>Flooring</t>
        </is>
      </c>
      <c r="D439" t="n">
        <v>1010</v>
      </c>
    </row>
    <row r="440">
      <c r="A440" s="1" t="n">
        <v>45778</v>
      </c>
      <c r="B440" t="inlineStr"/>
      <c r="C440" t="inlineStr">
        <is>
          <t>Garbage &amp; Recycling</t>
        </is>
      </c>
      <c r="D440" t="n">
        <v>4479.7</v>
      </c>
    </row>
    <row r="441">
      <c r="A441" s="1" t="n">
        <v>45778</v>
      </c>
      <c r="B441" t="inlineStr"/>
      <c r="C441" t="inlineStr">
        <is>
          <t>Gas</t>
        </is>
      </c>
      <c r="D441" t="n">
        <v>6411.97</v>
      </c>
    </row>
    <row r="442">
      <c r="A442" s="1" t="n">
        <v>45778</v>
      </c>
      <c r="B442" t="inlineStr"/>
      <c r="C442" t="inlineStr">
        <is>
          <t>General Maint. Labor</t>
        </is>
      </c>
      <c r="D442" t="n">
        <v>8677</v>
      </c>
    </row>
    <row r="443">
      <c r="A443" s="1" t="n">
        <v>45778</v>
      </c>
      <c r="B443" t="inlineStr"/>
      <c r="C443" t="inlineStr">
        <is>
          <t>Gross Potential Rent</t>
        </is>
      </c>
      <c r="D443" t="n">
        <v>167200</v>
      </c>
    </row>
    <row r="444">
      <c r="A444" s="1" t="n">
        <v>45778</v>
      </c>
      <c r="B444" t="inlineStr"/>
      <c r="C444" t="inlineStr">
        <is>
          <t>Insurance Services</t>
        </is>
      </c>
      <c r="D444" t="n">
        <v>595</v>
      </c>
    </row>
    <row r="445">
      <c r="A445" s="1" t="n">
        <v>45778</v>
      </c>
      <c r="B445" t="inlineStr"/>
      <c r="C445" t="inlineStr">
        <is>
          <t>Interest</t>
        </is>
      </c>
      <c r="D445" t="n">
        <v>40025.2</v>
      </c>
    </row>
    <row r="446">
      <c r="A446" s="1" t="n">
        <v>45778</v>
      </c>
      <c r="B446" t="inlineStr"/>
      <c r="C446" t="inlineStr">
        <is>
          <t>Interest Income</t>
        </is>
      </c>
      <c r="D446" t="n">
        <v>427.05</v>
      </c>
    </row>
    <row r="447">
      <c r="A447" s="1" t="n">
        <v>45778</v>
      </c>
      <c r="B447" t="inlineStr"/>
      <c r="C447" t="inlineStr">
        <is>
          <t>Internet</t>
        </is>
      </c>
      <c r="D447" t="n">
        <v>627.55</v>
      </c>
    </row>
    <row r="448">
      <c r="A448" s="1" t="n">
        <v>45778</v>
      </c>
      <c r="B448" t="inlineStr"/>
      <c r="C448" t="inlineStr">
        <is>
          <t>Internet Charges</t>
        </is>
      </c>
      <c r="D448" t="n">
        <v>1630</v>
      </c>
    </row>
    <row r="449">
      <c r="A449" s="1" t="n">
        <v>45778</v>
      </c>
      <c r="B449" t="inlineStr"/>
      <c r="C449" t="inlineStr">
        <is>
          <t>Labor</t>
        </is>
      </c>
      <c r="D449" t="n">
        <v>26205</v>
      </c>
    </row>
    <row r="450">
      <c r="A450" s="1" t="n">
        <v>45778</v>
      </c>
      <c r="B450" t="inlineStr"/>
      <c r="C450" t="inlineStr">
        <is>
          <t>Landscaping</t>
        </is>
      </c>
      <c r="D450" t="n">
        <v>2380</v>
      </c>
    </row>
    <row r="451">
      <c r="A451" s="1" t="n">
        <v>45778</v>
      </c>
      <c r="B451" t="inlineStr"/>
      <c r="C451" t="inlineStr">
        <is>
          <t>Late Fees</t>
        </is>
      </c>
      <c r="D451" t="n">
        <v>1249</v>
      </c>
    </row>
    <row r="452">
      <c r="A452" s="1" t="n">
        <v>45778</v>
      </c>
      <c r="B452" t="inlineStr"/>
      <c r="C452" t="inlineStr">
        <is>
          <t>Legal</t>
        </is>
      </c>
      <c r="D452" t="n">
        <v>145</v>
      </c>
    </row>
    <row r="453">
      <c r="A453" s="1" t="n">
        <v>45778</v>
      </c>
      <c r="B453" t="inlineStr"/>
      <c r="C453" t="inlineStr">
        <is>
          <t>Loss/Gain to Market</t>
        </is>
      </c>
      <c r="D453" t="n">
        <v>-13812.58</v>
      </c>
    </row>
    <row r="454">
      <c r="A454" s="1" t="n">
        <v>45778</v>
      </c>
      <c r="B454" t="inlineStr"/>
      <c r="C454" t="inlineStr">
        <is>
          <t>Management Fee (4%)</t>
        </is>
      </c>
      <c r="D454" t="n">
        <v>6318.33</v>
      </c>
    </row>
    <row r="455">
      <c r="A455" s="1" t="n">
        <v>45778</v>
      </c>
      <c r="B455" t="inlineStr"/>
      <c r="C455" t="inlineStr">
        <is>
          <t>Monthly Cash-on-Cash (Ann.)</t>
        </is>
      </c>
      <c r="D455" t="n">
        <v>0.08</v>
      </c>
    </row>
    <row r="456">
      <c r="A456" s="1" t="n">
        <v>45778</v>
      </c>
      <c r="B456" t="inlineStr"/>
      <c r="C456" t="inlineStr">
        <is>
          <t>Move-In Fees</t>
        </is>
      </c>
      <c r="D456" t="n">
        <v>6000</v>
      </c>
    </row>
    <row r="457">
      <c r="A457" s="1" t="n">
        <v>45778</v>
      </c>
      <c r="B457" t="inlineStr"/>
      <c r="C457" t="inlineStr">
        <is>
          <t>NET CASH FLOW</t>
        </is>
      </c>
      <c r="D457" t="n">
        <v>-39342.17000000001</v>
      </c>
    </row>
    <row r="458">
      <c r="A458" s="1" t="n">
        <v>45778</v>
      </c>
      <c r="B458" t="inlineStr"/>
      <c r="C458" t="inlineStr">
        <is>
          <t>NET OPERATING INCOME (NOI)</t>
        </is>
      </c>
      <c r="D458" t="n">
        <v>67594.80999999998</v>
      </c>
    </row>
    <row r="459">
      <c r="A459" s="1" t="n">
        <v>45778</v>
      </c>
      <c r="B459" t="inlineStr"/>
      <c r="C459" t="inlineStr">
        <is>
          <t>Painting</t>
        </is>
      </c>
      <c r="D459" t="n">
        <v>1219.51</v>
      </c>
    </row>
    <row r="460">
      <c r="A460" s="1" t="n">
        <v>45778</v>
      </c>
      <c r="B460" t="inlineStr"/>
      <c r="C460" t="inlineStr">
        <is>
          <t>Payroll</t>
        </is>
      </c>
      <c r="D460" t="n">
        <v>3525</v>
      </c>
    </row>
    <row r="461">
      <c r="A461" s="1" t="n">
        <v>45778</v>
      </c>
      <c r="B461" t="inlineStr"/>
      <c r="C461" t="inlineStr">
        <is>
          <t>Pest Control</t>
        </is>
      </c>
      <c r="D461" t="n">
        <v>1470.96</v>
      </c>
    </row>
    <row r="462">
      <c r="A462" s="1" t="n">
        <v>45778</v>
      </c>
      <c r="B462" t="inlineStr"/>
      <c r="C462" t="inlineStr">
        <is>
          <t>Principal</t>
        </is>
      </c>
      <c r="D462" t="n">
        <v>10134.5</v>
      </c>
    </row>
    <row r="463">
      <c r="A463" s="1" t="n">
        <v>45778</v>
      </c>
      <c r="B463" t="inlineStr"/>
      <c r="C463" t="inlineStr">
        <is>
          <t>Property Insurance</t>
        </is>
      </c>
      <c r="D463" t="n">
        <v>8980</v>
      </c>
    </row>
    <row r="464">
      <c r="A464" s="1" t="n">
        <v>45778</v>
      </c>
      <c r="B464" t="inlineStr"/>
      <c r="C464" t="inlineStr">
        <is>
          <t>Real Estate Taxes</t>
        </is>
      </c>
      <c r="D464" t="n">
        <v>18823.25</v>
      </c>
    </row>
    <row r="465">
      <c r="A465" s="1" t="n">
        <v>45778</v>
      </c>
      <c r="B465" t="inlineStr"/>
      <c r="C465" t="inlineStr">
        <is>
          <t>Repairs - Other</t>
        </is>
      </c>
      <c r="D465" t="n">
        <v>890</v>
      </c>
    </row>
    <row r="466">
      <c r="A466" s="1" t="n">
        <v>45778</v>
      </c>
      <c r="B466" t="inlineStr"/>
      <c r="C466" t="inlineStr">
        <is>
          <t>Supplies</t>
        </is>
      </c>
      <c r="D466" t="n">
        <v>11393.33</v>
      </c>
    </row>
    <row r="467">
      <c r="A467" s="1" t="n">
        <v>45778</v>
      </c>
      <c r="B467" t="inlineStr"/>
      <c r="C467" t="inlineStr">
        <is>
          <t>Total Capital Expenditures</t>
        </is>
      </c>
      <c r="D467" t="n">
        <v>56777.28</v>
      </c>
    </row>
    <row r="468">
      <c r="A468" s="1" t="n">
        <v>45778</v>
      </c>
      <c r="B468" t="inlineStr"/>
      <c r="C468" t="inlineStr">
        <is>
          <t>Total Debt Service</t>
        </is>
      </c>
      <c r="D468" t="n">
        <v>50159.7</v>
      </c>
    </row>
    <row r="469">
      <c r="A469" s="1" t="n">
        <v>45778</v>
      </c>
      <c r="B469" t="inlineStr"/>
      <c r="C469" t="inlineStr">
        <is>
          <t>Total Operating Expenses</t>
        </is>
      </c>
      <c r="D469" t="n">
        <v>82581.24000000001</v>
      </c>
    </row>
    <row r="470">
      <c r="A470" s="1" t="n">
        <v>45778</v>
      </c>
      <c r="B470" t="inlineStr"/>
      <c r="C470" t="inlineStr">
        <is>
          <t>Total Other Income</t>
        </is>
      </c>
      <c r="D470" t="n">
        <v>10036.05</v>
      </c>
    </row>
    <row r="471">
      <c r="A471" s="1" t="n">
        <v>45778</v>
      </c>
      <c r="B471" t="inlineStr"/>
      <c r="C471" t="inlineStr">
        <is>
          <t>Vacancy</t>
        </is>
      </c>
      <c r="D471" t="n">
        <v>-7577.42</v>
      </c>
    </row>
    <row r="472">
      <c r="A472" s="1" t="n">
        <v>45809</v>
      </c>
      <c r="B472" t="inlineStr"/>
      <c r="C472" t="inlineStr">
        <is>
          <t>Accounting</t>
        </is>
      </c>
      <c r="D472" t="n">
        <v>2434.76</v>
      </c>
    </row>
    <row r="473">
      <c r="A473" s="1" t="n">
        <v>45809</v>
      </c>
      <c r="B473" t="inlineStr"/>
      <c r="C473" t="inlineStr">
        <is>
          <t>Advertising</t>
        </is>
      </c>
      <c r="D473" t="n">
        <v>811.17</v>
      </c>
    </row>
    <row r="474">
      <c r="A474" s="1" t="n">
        <v>45809</v>
      </c>
      <c r="B474" t="inlineStr"/>
      <c r="C474" t="inlineStr">
        <is>
          <t>Appliances</t>
        </is>
      </c>
      <c r="D474" t="n">
        <v>2865.06</v>
      </c>
    </row>
    <row r="475">
      <c r="A475" s="1" t="n">
        <v>45809</v>
      </c>
      <c r="B475" t="inlineStr"/>
      <c r="C475" t="inlineStr">
        <is>
          <t>Application Fees</t>
        </is>
      </c>
      <c r="D475" t="n">
        <v>185</v>
      </c>
    </row>
    <row r="476">
      <c r="A476" s="1" t="n">
        <v>45809</v>
      </c>
      <c r="B476" t="inlineStr"/>
      <c r="C476" t="inlineStr">
        <is>
          <t>Bank Fees</t>
        </is>
      </c>
      <c r="D476" t="n">
        <v>571.9400000000001</v>
      </c>
    </row>
    <row r="477">
      <c r="A477" s="1" t="n">
        <v>45809</v>
      </c>
      <c r="B477" t="inlineStr"/>
      <c r="C477" t="inlineStr">
        <is>
          <t>CASH FLOW AFTER DEBT SERVICE</t>
        </is>
      </c>
      <c r="D477" t="n">
        <v>-3142.87000000001</v>
      </c>
    </row>
    <row r="478">
      <c r="A478" s="1" t="n">
        <v>45809</v>
      </c>
      <c r="B478" t="inlineStr"/>
      <c r="C478" t="inlineStr">
        <is>
          <t>Cabinets</t>
        </is>
      </c>
      <c r="D478" t="n">
        <v>3046.29</v>
      </c>
    </row>
    <row r="479">
      <c r="A479" s="1" t="n">
        <v>45809</v>
      </c>
      <c r="B479" t="inlineStr"/>
      <c r="C479" t="inlineStr">
        <is>
          <t>Cap Rate</t>
        </is>
      </c>
      <c r="D479" t="n">
        <v>0.04701593999999999</v>
      </c>
    </row>
    <row r="480">
      <c r="A480" s="1" t="n">
        <v>45809</v>
      </c>
      <c r="B480" t="inlineStr"/>
      <c r="C480" t="inlineStr">
        <is>
          <t>Carpet Cleaning</t>
        </is>
      </c>
      <c r="D480" t="n">
        <v>377.5</v>
      </c>
    </row>
    <row r="481">
      <c r="A481" s="1" t="n">
        <v>45809</v>
      </c>
      <c r="B481" t="inlineStr"/>
      <c r="C481" t="inlineStr">
        <is>
          <t>Cash-on-Cash (Ann.)</t>
        </is>
      </c>
      <c r="D481" t="n">
        <v>-0.1233602643171806</v>
      </c>
    </row>
    <row r="482">
      <c r="A482" s="1" t="n">
        <v>45809</v>
      </c>
      <c r="B482" t="inlineStr"/>
      <c r="C482" t="inlineStr">
        <is>
          <t>Cash-on-Cash (CFADS)</t>
        </is>
      </c>
      <c r="D482" t="n">
        <v>-0.008307145374449366</v>
      </c>
    </row>
    <row r="483">
      <c r="A483" s="1" t="n">
        <v>45809</v>
      </c>
      <c r="B483" t="inlineStr"/>
      <c r="C483" t="inlineStr">
        <is>
          <t>Cleaning &amp; Maint</t>
        </is>
      </c>
      <c r="D483" t="n">
        <v>975</v>
      </c>
    </row>
    <row r="484">
      <c r="A484" s="1" t="n">
        <v>45809</v>
      </c>
      <c r="B484" t="inlineStr"/>
      <c r="C484" t="inlineStr">
        <is>
          <t>Common Area Cleaning</t>
        </is>
      </c>
      <c r="D484" t="n">
        <v>2250</v>
      </c>
    </row>
    <row r="485">
      <c r="A485" s="1" t="n">
        <v>45809</v>
      </c>
      <c r="B485" t="inlineStr"/>
      <c r="C485" t="inlineStr">
        <is>
          <t>DSCR</t>
        </is>
      </c>
      <c r="D485" t="n">
        <v>0.9373416155606561</v>
      </c>
    </row>
    <row r="486">
      <c r="A486" s="1" t="n">
        <v>45809</v>
      </c>
      <c r="B486" t="inlineStr"/>
      <c r="C486" t="inlineStr">
        <is>
          <t>Delinquency</t>
        </is>
      </c>
      <c r="D486" t="n">
        <v>-1109.75</v>
      </c>
    </row>
    <row r="487">
      <c r="A487" s="1" t="n">
        <v>45809</v>
      </c>
      <c r="B487" t="inlineStr"/>
      <c r="C487" t="inlineStr">
        <is>
          <t>EFFECTIVE GROSS INCOME (EGI)</t>
        </is>
      </c>
      <c r="D487" t="n">
        <v>160085.58</v>
      </c>
    </row>
    <row r="488">
      <c r="A488" s="1" t="n">
        <v>45809</v>
      </c>
      <c r="B488" t="inlineStr"/>
      <c r="C488" t="inlineStr">
        <is>
          <t>Effective Rental Income</t>
        </is>
      </c>
      <c r="D488" t="n">
        <v>152427.25</v>
      </c>
    </row>
    <row r="489">
      <c r="A489" s="1" t="n">
        <v>45809</v>
      </c>
      <c r="B489" t="inlineStr"/>
      <c r="C489" t="inlineStr">
        <is>
          <t>Electricity</t>
        </is>
      </c>
      <c r="D489" t="n">
        <v>605.34</v>
      </c>
    </row>
    <row r="490">
      <c r="A490" s="1" t="n">
        <v>45809</v>
      </c>
      <c r="B490" t="inlineStr"/>
      <c r="C490" t="inlineStr">
        <is>
          <t>Expense Ratio</t>
        </is>
      </c>
      <c r="D490" t="n">
        <v>0.7063074637953025</v>
      </c>
    </row>
    <row r="491">
      <c r="A491" s="1" t="n">
        <v>45809</v>
      </c>
      <c r="B491" t="inlineStr"/>
      <c r="C491" t="inlineStr">
        <is>
          <t>Flooring</t>
        </is>
      </c>
      <c r="D491" t="n">
        <v>3088.69</v>
      </c>
    </row>
    <row r="492">
      <c r="A492" s="1" t="n">
        <v>45809</v>
      </c>
      <c r="B492" t="inlineStr"/>
      <c r="C492" t="inlineStr">
        <is>
          <t>Garbage &amp; Recycling</t>
        </is>
      </c>
      <c r="D492" t="n">
        <v>3667.51</v>
      </c>
    </row>
    <row r="493">
      <c r="A493" s="1" t="n">
        <v>45809</v>
      </c>
      <c r="B493" t="inlineStr"/>
      <c r="C493" t="inlineStr">
        <is>
          <t>Gas</t>
        </is>
      </c>
      <c r="D493" t="n">
        <v>3381.99</v>
      </c>
    </row>
    <row r="494">
      <c r="A494" s="1" t="n">
        <v>45809</v>
      </c>
      <c r="B494" t="inlineStr"/>
      <c r="C494" t="inlineStr">
        <is>
          <t>General Maint. Labor</t>
        </is>
      </c>
      <c r="D494" t="n">
        <v>6953.4</v>
      </c>
    </row>
    <row r="495">
      <c r="A495" s="1" t="n">
        <v>45809</v>
      </c>
      <c r="B495" t="inlineStr"/>
      <c r="C495" t="inlineStr">
        <is>
          <t>Gross Potential Rent</t>
        </is>
      </c>
      <c r="D495" t="n">
        <v>167626.65</v>
      </c>
    </row>
    <row r="496">
      <c r="A496" s="1" t="n">
        <v>45809</v>
      </c>
      <c r="B496" t="inlineStr"/>
      <c r="C496" t="inlineStr">
        <is>
          <t>Hardware</t>
        </is>
      </c>
      <c r="D496" t="n">
        <v>201.91</v>
      </c>
    </row>
    <row r="497">
      <c r="A497" s="1" t="n">
        <v>45809</v>
      </c>
      <c r="B497" t="inlineStr"/>
      <c r="C497" t="inlineStr">
        <is>
          <t>Insurance Services</t>
        </is>
      </c>
      <c r="D497" t="n">
        <v>930</v>
      </c>
    </row>
    <row r="498">
      <c r="A498" s="1" t="n">
        <v>45809</v>
      </c>
      <c r="B498" t="inlineStr"/>
      <c r="C498" t="inlineStr">
        <is>
          <t>Interest</t>
        </is>
      </c>
      <c r="D498" t="n">
        <v>41311.86</v>
      </c>
    </row>
    <row r="499">
      <c r="A499" s="1" t="n">
        <v>45809</v>
      </c>
      <c r="B499" t="inlineStr"/>
      <c r="C499" t="inlineStr">
        <is>
          <t>Internet</t>
        </is>
      </c>
      <c r="D499" t="n">
        <v>595.87</v>
      </c>
    </row>
    <row r="500">
      <c r="A500" s="1" t="n">
        <v>45809</v>
      </c>
      <c r="B500" t="inlineStr"/>
      <c r="C500" t="inlineStr">
        <is>
          <t>Internet Charges</t>
        </is>
      </c>
      <c r="D500" t="n">
        <v>1860</v>
      </c>
    </row>
    <row r="501">
      <c r="A501" s="1" t="n">
        <v>45809</v>
      </c>
      <c r="B501" t="inlineStr"/>
      <c r="C501" t="inlineStr">
        <is>
          <t>Labor</t>
        </is>
      </c>
      <c r="D501" t="n">
        <v>10981.62</v>
      </c>
    </row>
    <row r="502">
      <c r="A502" s="1" t="n">
        <v>45809</v>
      </c>
      <c r="B502" t="inlineStr"/>
      <c r="C502" t="inlineStr">
        <is>
          <t>Late Fees</t>
        </is>
      </c>
      <c r="D502" t="n">
        <v>1683.33</v>
      </c>
    </row>
    <row r="503">
      <c r="A503" s="1" t="n">
        <v>45809</v>
      </c>
      <c r="B503" t="inlineStr"/>
      <c r="C503" t="inlineStr">
        <is>
          <t>Legal</t>
        </is>
      </c>
      <c r="D503" t="n">
        <v>3693</v>
      </c>
    </row>
    <row r="504">
      <c r="A504" s="1" t="n">
        <v>45809</v>
      </c>
      <c r="B504" t="inlineStr"/>
      <c r="C504" t="inlineStr">
        <is>
          <t>Loss/Gain to Market</t>
        </is>
      </c>
      <c r="D504" t="n">
        <v>-7779.65</v>
      </c>
    </row>
    <row r="505">
      <c r="A505" s="1" t="n">
        <v>45809</v>
      </c>
      <c r="B505" t="inlineStr"/>
      <c r="C505" t="inlineStr">
        <is>
          <t>Management Fee (4%)</t>
        </is>
      </c>
      <c r="D505" t="n">
        <v>5989.96</v>
      </c>
    </row>
    <row r="506">
      <c r="A506" s="1" t="n">
        <v>45809</v>
      </c>
      <c r="B506" t="inlineStr"/>
      <c r="C506" t="inlineStr">
        <is>
          <t>Monthly Cash-on-Cash (Ann.)</t>
        </is>
      </c>
      <c r="D506" t="n">
        <v>0.04</v>
      </c>
    </row>
    <row r="507">
      <c r="A507" s="1" t="n">
        <v>45809</v>
      </c>
      <c r="B507" t="inlineStr"/>
      <c r="C507" t="inlineStr">
        <is>
          <t>Move-In Fees</t>
        </is>
      </c>
      <c r="D507" t="n">
        <v>3000</v>
      </c>
    </row>
    <row r="508">
      <c r="A508" s="1" t="n">
        <v>45809</v>
      </c>
      <c r="B508" t="inlineStr"/>
      <c r="C508" t="inlineStr">
        <is>
          <t>NET CASH FLOW</t>
        </is>
      </c>
      <c r="D508" t="n">
        <v>-46671.3</v>
      </c>
    </row>
    <row r="509">
      <c r="A509" s="1" t="n">
        <v>45809</v>
      </c>
      <c r="B509" t="inlineStr"/>
      <c r="C509" t="inlineStr">
        <is>
          <t>NET OPERATING INCOME (NOI)</t>
        </is>
      </c>
      <c r="D509" t="n">
        <v>47015.93999999999</v>
      </c>
    </row>
    <row r="510">
      <c r="A510" s="1" t="n">
        <v>45809</v>
      </c>
      <c r="B510" t="inlineStr"/>
      <c r="C510" t="inlineStr">
        <is>
          <t>Paint</t>
        </is>
      </c>
      <c r="D510" t="n">
        <v>6764.7</v>
      </c>
    </row>
    <row r="511">
      <c r="A511" s="1" t="n">
        <v>45809</v>
      </c>
      <c r="B511" t="inlineStr"/>
      <c r="C511" t="inlineStr">
        <is>
          <t>Payroll</t>
        </is>
      </c>
      <c r="D511" t="n">
        <v>3240</v>
      </c>
    </row>
    <row r="512">
      <c r="A512" s="1" t="n">
        <v>45809</v>
      </c>
      <c r="B512" t="inlineStr"/>
      <c r="C512" t="inlineStr">
        <is>
          <t>Principal</t>
        </is>
      </c>
      <c r="D512" t="n">
        <v>8846.950000000001</v>
      </c>
    </row>
    <row r="513">
      <c r="A513" s="1" t="n">
        <v>45809</v>
      </c>
      <c r="B513" t="inlineStr"/>
      <c r="C513" t="inlineStr">
        <is>
          <t>Property Insurance</t>
        </is>
      </c>
      <c r="D513" t="n">
        <v>8980</v>
      </c>
    </row>
    <row r="514">
      <c r="A514" s="1" t="n">
        <v>45809</v>
      </c>
      <c r="B514" t="inlineStr"/>
      <c r="C514" t="inlineStr">
        <is>
          <t>Real Estate Taxes</t>
        </is>
      </c>
      <c r="D514" t="n">
        <v>18823.25</v>
      </c>
    </row>
    <row r="515">
      <c r="A515" s="1" t="n">
        <v>45809</v>
      </c>
      <c r="B515" t="inlineStr"/>
      <c r="C515" t="inlineStr">
        <is>
          <t>Repairs - Other</t>
        </is>
      </c>
      <c r="D515" t="n">
        <v>6985</v>
      </c>
    </row>
    <row r="516">
      <c r="A516" s="1" t="n">
        <v>45809</v>
      </c>
      <c r="B516" t="inlineStr"/>
      <c r="C516" t="inlineStr">
        <is>
          <t>Security Service</t>
        </is>
      </c>
      <c r="D516" t="n">
        <v>3500</v>
      </c>
    </row>
    <row r="517">
      <c r="A517" s="1" t="n">
        <v>45809</v>
      </c>
      <c r="B517" t="inlineStr"/>
      <c r="C517" t="inlineStr">
        <is>
          <t>Supplies</t>
        </is>
      </c>
      <c r="D517" t="n">
        <v>16580.16</v>
      </c>
    </row>
    <row r="518">
      <c r="A518" s="1" t="n">
        <v>45809</v>
      </c>
      <c r="B518" t="inlineStr"/>
      <c r="C518" t="inlineStr">
        <is>
          <t>Total Capital Expenditures</t>
        </is>
      </c>
      <c r="D518" t="n">
        <v>43528.42999999999</v>
      </c>
    </row>
    <row r="519">
      <c r="A519" s="1" t="n">
        <v>45809</v>
      </c>
      <c r="B519" t="inlineStr"/>
      <c r="C519" t="inlineStr">
        <is>
          <t>Total Debt Service</t>
        </is>
      </c>
      <c r="D519" t="n">
        <v>50158.81</v>
      </c>
    </row>
    <row r="520">
      <c r="A520" s="1" t="n">
        <v>45809</v>
      </c>
      <c r="B520" t="inlineStr"/>
      <c r="C520" t="inlineStr">
        <is>
          <t>Total Operating Expenses</t>
        </is>
      </c>
      <c r="D520" t="n">
        <v>113069.64</v>
      </c>
    </row>
    <row r="521">
      <c r="A521" s="1" t="n">
        <v>45809</v>
      </c>
      <c r="B521" t="inlineStr"/>
      <c r="C521" t="inlineStr">
        <is>
          <t>Total Other Income</t>
        </is>
      </c>
      <c r="D521" t="n">
        <v>7658.33</v>
      </c>
    </row>
    <row r="522">
      <c r="A522" s="1" t="n">
        <v>45809</v>
      </c>
      <c r="B522" t="inlineStr"/>
      <c r="C522" t="inlineStr">
        <is>
          <t>Vacancy</t>
        </is>
      </c>
      <c r="D522" t="n">
        <v>-6310</v>
      </c>
    </row>
    <row r="523">
      <c r="A523" s="1" t="n">
        <v>45809</v>
      </c>
      <c r="B523" t="inlineStr"/>
      <c r="C523" t="inlineStr">
        <is>
          <t>Water</t>
        </is>
      </c>
      <c r="D523" t="n">
        <v>19565.1</v>
      </c>
    </row>
    <row r="524">
      <c r="A524" s="1" t="n">
        <v>45839</v>
      </c>
      <c r="B524" t="inlineStr"/>
      <c r="C524" t="inlineStr">
        <is>
          <t>Accounting</t>
        </is>
      </c>
      <c r="D524" t="n">
        <v>2790.13</v>
      </c>
    </row>
    <row r="525">
      <c r="A525" s="1" t="n">
        <v>45839</v>
      </c>
      <c r="B525" t="inlineStr"/>
      <c r="C525" t="inlineStr">
        <is>
          <t>Application Fees</t>
        </is>
      </c>
      <c r="D525" t="n">
        <v>230</v>
      </c>
    </row>
    <row r="526">
      <c r="A526" s="1" t="n">
        <v>45839</v>
      </c>
      <c r="B526" t="inlineStr"/>
      <c r="C526" t="inlineStr">
        <is>
          <t>CASH FLOW AFTER DEBT SERVICE</t>
        </is>
      </c>
      <c r="D526" t="n">
        <v>19758.91</v>
      </c>
    </row>
    <row r="527">
      <c r="A527" s="1" t="n">
        <v>45839</v>
      </c>
      <c r="B527" t="inlineStr"/>
      <c r="C527" t="inlineStr">
        <is>
          <t>Cabinets</t>
        </is>
      </c>
      <c r="D527" t="n">
        <v>7030.35</v>
      </c>
    </row>
    <row r="528">
      <c r="A528" s="1" t="n">
        <v>45839</v>
      </c>
      <c r="B528" t="inlineStr"/>
      <c r="C528" t="inlineStr">
        <is>
          <t>Cap Rate</t>
        </is>
      </c>
      <c r="D528" t="n">
        <v>0.06991772</v>
      </c>
    </row>
    <row r="529">
      <c r="A529" s="1" t="n">
        <v>45839</v>
      </c>
      <c r="B529" t="inlineStr"/>
      <c r="C529" t="inlineStr">
        <is>
          <t>Cash-on-Cash (Ann.)</t>
        </is>
      </c>
      <c r="D529" t="n">
        <v>-0.06617984140969163</v>
      </c>
    </row>
    <row r="530">
      <c r="A530" s="1" t="n">
        <v>45839</v>
      </c>
      <c r="B530" t="inlineStr"/>
      <c r="C530" t="inlineStr">
        <is>
          <t>Cash-on-Cash (CFADS)</t>
        </is>
      </c>
      <c r="D530" t="n">
        <v>0.05222619383259913</v>
      </c>
    </row>
    <row r="531">
      <c r="A531" s="1" t="n">
        <v>45839</v>
      </c>
      <c r="B531" t="inlineStr"/>
      <c r="C531" t="inlineStr">
        <is>
          <t>Cleaning &amp; Maint</t>
        </is>
      </c>
      <c r="D531" t="n">
        <v>1225</v>
      </c>
    </row>
    <row r="532">
      <c r="A532" s="1" t="n">
        <v>45839</v>
      </c>
      <c r="B532" t="inlineStr"/>
      <c r="C532" t="inlineStr">
        <is>
          <t>Common Area Cleaning</t>
        </is>
      </c>
      <c r="D532" t="n">
        <v>1475</v>
      </c>
    </row>
    <row r="533">
      <c r="A533" s="1" t="n">
        <v>45839</v>
      </c>
      <c r="B533" t="inlineStr"/>
      <c r="C533" t="inlineStr">
        <is>
          <t>DSCR</t>
        </is>
      </c>
      <c r="D533" t="n">
        <v>1.393927009033907</v>
      </c>
    </row>
    <row r="534">
      <c r="A534" s="1" t="n">
        <v>45839</v>
      </c>
      <c r="B534" t="inlineStr"/>
      <c r="C534" t="inlineStr">
        <is>
          <t>Delinquency</t>
        </is>
      </c>
      <c r="D534" t="n">
        <v>-4164.5</v>
      </c>
    </row>
    <row r="535">
      <c r="A535" s="1" t="n">
        <v>45839</v>
      </c>
      <c r="B535" t="inlineStr"/>
      <c r="C535" t="inlineStr">
        <is>
          <t>EFFECTIVE GROSS INCOME (EGI)</t>
        </is>
      </c>
      <c r="D535" t="n">
        <v>157436.16</v>
      </c>
    </row>
    <row r="536">
      <c r="A536" s="1" t="n">
        <v>45839</v>
      </c>
      <c r="B536" t="inlineStr"/>
      <c r="C536" t="inlineStr">
        <is>
          <t>Effective Rental Income</t>
        </is>
      </c>
      <c r="D536" t="n">
        <v>146732.16</v>
      </c>
    </row>
    <row r="537">
      <c r="A537" s="1" t="n">
        <v>45839</v>
      </c>
      <c r="B537" t="inlineStr"/>
      <c r="C537" t="inlineStr">
        <is>
          <t>Electricity</t>
        </is>
      </c>
      <c r="D537" t="n">
        <v>1102.45</v>
      </c>
    </row>
    <row r="538">
      <c r="A538" s="1" t="n">
        <v>45839</v>
      </c>
      <c r="B538" t="inlineStr"/>
      <c r="C538" t="inlineStr">
        <is>
          <t>Expense Ratio</t>
        </is>
      </c>
      <c r="D538" t="n">
        <v>0.5558979588933064</v>
      </c>
    </row>
    <row r="539">
      <c r="A539" s="1" t="n">
        <v>45839</v>
      </c>
      <c r="B539" t="inlineStr"/>
      <c r="C539" t="inlineStr">
        <is>
          <t>Garbage &amp; Recycling</t>
        </is>
      </c>
      <c r="D539" t="n">
        <v>4988.5</v>
      </c>
    </row>
    <row r="540">
      <c r="A540" s="1" t="n">
        <v>45839</v>
      </c>
      <c r="B540" t="inlineStr"/>
      <c r="C540" t="inlineStr">
        <is>
          <t>Gas</t>
        </is>
      </c>
      <c r="D540" t="n">
        <v>2476.75</v>
      </c>
    </row>
    <row r="541">
      <c r="A541" s="1" t="n">
        <v>45839</v>
      </c>
      <c r="B541" t="inlineStr"/>
      <c r="C541" t="inlineStr">
        <is>
          <t>General Maint. Labor</t>
        </is>
      </c>
      <c r="D541" t="n">
        <v>9086.6</v>
      </c>
    </row>
    <row r="542">
      <c r="A542" s="1" t="n">
        <v>45839</v>
      </c>
      <c r="B542" t="inlineStr"/>
      <c r="C542" t="inlineStr">
        <is>
          <t>Gross Potential Rent</t>
        </is>
      </c>
      <c r="D542" t="n">
        <v>168719.14</v>
      </c>
    </row>
    <row r="543">
      <c r="A543" s="1" t="n">
        <v>45839</v>
      </c>
      <c r="B543" t="inlineStr"/>
      <c r="C543" t="inlineStr">
        <is>
          <t>Hardware</t>
        </is>
      </c>
      <c r="D543" t="n">
        <v>321.47</v>
      </c>
    </row>
    <row r="544">
      <c r="A544" s="1" t="n">
        <v>45839</v>
      </c>
      <c r="B544" t="inlineStr"/>
      <c r="C544" t="inlineStr">
        <is>
          <t>Insurance Services</t>
        </is>
      </c>
      <c r="D544" t="n">
        <v>1045</v>
      </c>
    </row>
    <row r="545">
      <c r="A545" s="1" t="n">
        <v>45839</v>
      </c>
      <c r="B545" t="inlineStr"/>
      <c r="C545" t="inlineStr">
        <is>
          <t>Interest</t>
        </is>
      </c>
      <c r="D545" t="n">
        <v>39939.08</v>
      </c>
    </row>
    <row r="546">
      <c r="A546" s="1" t="n">
        <v>45839</v>
      </c>
      <c r="B546" t="inlineStr"/>
      <c r="C546" t="inlineStr">
        <is>
          <t>Interest Income</t>
        </is>
      </c>
      <c r="D546" t="n">
        <v>346</v>
      </c>
    </row>
    <row r="547">
      <c r="A547" s="1" t="n">
        <v>45839</v>
      </c>
      <c r="B547" t="inlineStr"/>
      <c r="C547" t="inlineStr">
        <is>
          <t>Internet</t>
        </is>
      </c>
      <c r="D547" t="n">
        <v>645.47</v>
      </c>
    </row>
    <row r="548">
      <c r="A548" s="1" t="n">
        <v>45839</v>
      </c>
      <c r="B548" t="inlineStr"/>
      <c r="C548" t="inlineStr">
        <is>
          <t>Internet Charges</t>
        </is>
      </c>
      <c r="D548" t="n">
        <v>2100</v>
      </c>
    </row>
    <row r="549">
      <c r="A549" s="1" t="n">
        <v>45839</v>
      </c>
      <c r="B549" t="inlineStr"/>
      <c r="C549" t="inlineStr">
        <is>
          <t>Key/Lock</t>
        </is>
      </c>
      <c r="D549" t="n">
        <v>215</v>
      </c>
    </row>
    <row r="550">
      <c r="A550" s="1" t="n">
        <v>45839</v>
      </c>
      <c r="B550" t="inlineStr"/>
      <c r="C550" t="inlineStr">
        <is>
          <t>Labor</t>
        </is>
      </c>
      <c r="D550" t="n">
        <v>22863.27</v>
      </c>
    </row>
    <row r="551">
      <c r="A551" s="1" t="n">
        <v>45839</v>
      </c>
      <c r="B551" t="inlineStr"/>
      <c r="C551" t="inlineStr">
        <is>
          <t>Landscaping</t>
        </is>
      </c>
      <c r="D551" t="n">
        <v>5988.06</v>
      </c>
    </row>
    <row r="552">
      <c r="A552" s="1" t="n">
        <v>45839</v>
      </c>
      <c r="B552" t="inlineStr"/>
      <c r="C552" t="inlineStr">
        <is>
          <t>Late Fees</t>
        </is>
      </c>
      <c r="D552" t="n">
        <v>2098</v>
      </c>
    </row>
    <row r="553">
      <c r="A553" s="1" t="n">
        <v>45839</v>
      </c>
      <c r="B553" t="inlineStr"/>
      <c r="C553" t="inlineStr">
        <is>
          <t>Legal</t>
        </is>
      </c>
      <c r="D553" t="n">
        <v>7611</v>
      </c>
    </row>
    <row r="554">
      <c r="A554" s="1" t="n">
        <v>45839</v>
      </c>
      <c r="B554" t="inlineStr"/>
      <c r="C554" t="inlineStr">
        <is>
          <t>Loss/Gain to Market</t>
        </is>
      </c>
      <c r="D554" t="n">
        <v>-9841.84</v>
      </c>
    </row>
    <row r="555">
      <c r="A555" s="1" t="n">
        <v>45839</v>
      </c>
      <c r="B555" t="inlineStr"/>
      <c r="C555" t="inlineStr">
        <is>
          <t>Management Fee (4%)</t>
        </is>
      </c>
      <c r="D555" t="n">
        <v>6389.55</v>
      </c>
    </row>
    <row r="556">
      <c r="A556" s="1" t="n">
        <v>45839</v>
      </c>
      <c r="B556" t="inlineStr"/>
      <c r="C556" t="inlineStr">
        <is>
          <t>Monthly Cash-on-Cash (Ann.)</t>
        </is>
      </c>
      <c r="D556" t="n">
        <v>0.08</v>
      </c>
    </row>
    <row r="557">
      <c r="A557" s="1" t="n">
        <v>45839</v>
      </c>
      <c r="B557" t="inlineStr"/>
      <c r="C557" t="inlineStr">
        <is>
          <t>Move-In Fees</t>
        </is>
      </c>
      <c r="D557" t="n">
        <v>4500</v>
      </c>
    </row>
    <row r="558">
      <c r="A558" s="1" t="n">
        <v>45839</v>
      </c>
      <c r="B558" t="inlineStr"/>
      <c r="C558" t="inlineStr">
        <is>
          <t>NET CASH FLOW</t>
        </is>
      </c>
      <c r="D558" t="n">
        <v>-25038.04</v>
      </c>
    </row>
    <row r="559">
      <c r="A559" s="1" t="n">
        <v>45839</v>
      </c>
      <c r="B559" t="inlineStr"/>
      <c r="C559" t="inlineStr">
        <is>
          <t>NET OPERATING INCOME (NOI)</t>
        </is>
      </c>
      <c r="D559" t="n">
        <v>69917.72</v>
      </c>
    </row>
    <row r="560">
      <c r="A560" s="1" t="n">
        <v>45839</v>
      </c>
      <c r="B560" t="inlineStr"/>
      <c r="C560" t="inlineStr">
        <is>
          <t>NSF Fees</t>
        </is>
      </c>
      <c r="D560" t="n">
        <v>385</v>
      </c>
    </row>
    <row r="561">
      <c r="A561" s="1" t="n">
        <v>45839</v>
      </c>
      <c r="B561" t="inlineStr"/>
      <c r="C561" t="inlineStr">
        <is>
          <t>Paint</t>
        </is>
      </c>
      <c r="D561" t="n">
        <v>1441.49</v>
      </c>
    </row>
    <row r="562">
      <c r="A562" s="1" t="n">
        <v>45839</v>
      </c>
      <c r="B562" t="inlineStr"/>
      <c r="C562" t="inlineStr">
        <is>
          <t>Payroll</t>
        </is>
      </c>
      <c r="D562" t="n">
        <v>2310</v>
      </c>
    </row>
    <row r="563">
      <c r="A563" s="1" t="n">
        <v>45839</v>
      </c>
      <c r="B563" t="inlineStr"/>
      <c r="C563" t="inlineStr">
        <is>
          <t>Pest Control</t>
        </is>
      </c>
      <c r="D563" t="n">
        <v>271.31</v>
      </c>
    </row>
    <row r="564">
      <c r="A564" s="1" t="n">
        <v>45839</v>
      </c>
      <c r="B564" t="inlineStr"/>
      <c r="C564" t="inlineStr">
        <is>
          <t>Principal</t>
        </is>
      </c>
      <c r="D564" t="n">
        <v>10219.73</v>
      </c>
    </row>
    <row r="565">
      <c r="A565" s="1" t="n">
        <v>45839</v>
      </c>
      <c r="B565" t="inlineStr"/>
      <c r="C565" t="inlineStr">
        <is>
          <t>Property Insurance</t>
        </is>
      </c>
      <c r="D565" t="n">
        <v>8980</v>
      </c>
    </row>
    <row r="566">
      <c r="A566" s="1" t="n">
        <v>45839</v>
      </c>
      <c r="B566" t="inlineStr"/>
      <c r="C566" t="inlineStr">
        <is>
          <t>Real Estate Taxes</t>
        </is>
      </c>
      <c r="D566" t="n">
        <v>18823.25</v>
      </c>
    </row>
    <row r="567">
      <c r="A567" s="1" t="n">
        <v>45839</v>
      </c>
      <c r="B567" t="inlineStr"/>
      <c r="C567" t="inlineStr">
        <is>
          <t>Supplies</t>
        </is>
      </c>
      <c r="D567" t="n">
        <v>13140.37</v>
      </c>
    </row>
    <row r="568">
      <c r="A568" s="1" t="n">
        <v>45839</v>
      </c>
      <c r="B568" t="inlineStr"/>
      <c r="C568" t="inlineStr">
        <is>
          <t>Total Capital Expenditures</t>
        </is>
      </c>
      <c r="D568" t="n">
        <v>44796.95</v>
      </c>
    </row>
    <row r="569">
      <c r="A569" s="1" t="n">
        <v>45839</v>
      </c>
      <c r="B569" t="inlineStr"/>
      <c r="C569" t="inlineStr">
        <is>
          <t>Total Debt Service</t>
        </is>
      </c>
      <c r="D569" t="n">
        <v>50158.81</v>
      </c>
    </row>
    <row r="570">
      <c r="A570" s="1" t="n">
        <v>45839</v>
      </c>
      <c r="B570" t="inlineStr"/>
      <c r="C570" t="inlineStr">
        <is>
          <t>Total Operating Expenses</t>
        </is>
      </c>
      <c r="D570" t="n">
        <v>87518.44</v>
      </c>
    </row>
    <row r="571">
      <c r="A571" s="1" t="n">
        <v>45839</v>
      </c>
      <c r="B571" t="inlineStr"/>
      <c r="C571" t="inlineStr">
        <is>
          <t>Total Other Income</t>
        </is>
      </c>
      <c r="D571" t="n">
        <v>10704</v>
      </c>
    </row>
    <row r="572">
      <c r="A572" s="1" t="n">
        <v>45839</v>
      </c>
      <c r="B572" t="inlineStr"/>
      <c r="C572" t="inlineStr">
        <is>
          <t>Vacancy</t>
        </is>
      </c>
      <c r="D572" t="n">
        <v>-7980.64</v>
      </c>
    </row>
    <row r="573">
      <c r="A573" s="1" t="n">
        <v>45870</v>
      </c>
      <c r="B573" t="inlineStr"/>
      <c r="C573" t="inlineStr">
        <is>
          <t>Accounting</t>
        </is>
      </c>
      <c r="D573" t="n">
        <v>2611.31</v>
      </c>
    </row>
    <row r="574">
      <c r="A574" s="1" t="n">
        <v>45870</v>
      </c>
      <c r="B574" t="inlineStr"/>
      <c r="C574" t="inlineStr">
        <is>
          <t>Appliances</t>
        </is>
      </c>
      <c r="D574" t="n">
        <v>9527.85</v>
      </c>
    </row>
    <row r="575">
      <c r="A575" s="1" t="n">
        <v>45870</v>
      </c>
      <c r="B575" t="inlineStr"/>
      <c r="C575" t="inlineStr">
        <is>
          <t>Application Fees</t>
        </is>
      </c>
      <c r="D575" t="n">
        <v>180</v>
      </c>
    </row>
    <row r="576">
      <c r="A576" s="1" t="n">
        <v>45870</v>
      </c>
      <c r="B576" t="inlineStr"/>
      <c r="C576" t="inlineStr">
        <is>
          <t>Bank Fees</t>
        </is>
      </c>
      <c r="D576" t="n">
        <v>850</v>
      </c>
    </row>
    <row r="577">
      <c r="A577" s="1" t="n">
        <v>45870</v>
      </c>
      <c r="B577" t="inlineStr"/>
      <c r="C577" t="inlineStr">
        <is>
          <t>CASH FLOW AFTER DEBT SERVICE</t>
        </is>
      </c>
      <c r="D577" t="n">
        <v>36546.35999999999</v>
      </c>
    </row>
    <row r="578">
      <c r="A578" s="1" t="n">
        <v>45870</v>
      </c>
      <c r="B578" t="inlineStr"/>
      <c r="C578" t="inlineStr">
        <is>
          <t>Cap Rate</t>
        </is>
      </c>
      <c r="D578" t="n">
        <v>0.08670516999999998</v>
      </c>
    </row>
    <row r="579">
      <c r="A579" s="1" t="n">
        <v>45870</v>
      </c>
      <c r="B579" t="inlineStr"/>
      <c r="C579" t="inlineStr">
        <is>
          <t>Cash-on-Cash (Ann.)</t>
        </is>
      </c>
      <c r="D579" t="n">
        <v>0.04101935682819379</v>
      </c>
    </row>
    <row r="580">
      <c r="A580" s="1" t="n">
        <v>45870</v>
      </c>
      <c r="B580" t="inlineStr"/>
      <c r="C580" t="inlineStr">
        <is>
          <t>Cash-on-Cash (CFADS)</t>
        </is>
      </c>
      <c r="D580" t="n">
        <v>0.09659830837004402</v>
      </c>
    </row>
    <row r="581">
      <c r="A581" s="1" t="n">
        <v>45870</v>
      </c>
      <c r="B581" t="inlineStr"/>
      <c r="C581" t="inlineStr">
        <is>
          <t>Cleaning &amp; Maint</t>
        </is>
      </c>
      <c r="D581" t="n">
        <v>1250</v>
      </c>
    </row>
    <row r="582">
      <c r="A582" s="1" t="n">
        <v>45870</v>
      </c>
      <c r="B582" t="inlineStr"/>
      <c r="C582" t="inlineStr">
        <is>
          <t>Common Area Cleaning</t>
        </is>
      </c>
      <c r="D582" t="n">
        <v>1350</v>
      </c>
    </row>
    <row r="583">
      <c r="A583" s="1" t="n">
        <v>45870</v>
      </c>
      <c r="B583" t="inlineStr"/>
      <c r="C583" t="inlineStr">
        <is>
          <t>DSCR</t>
        </is>
      </c>
      <c r="D583" t="n">
        <v>1.728612979454656</v>
      </c>
    </row>
    <row r="584">
      <c r="A584" s="1" t="n">
        <v>45870</v>
      </c>
      <c r="B584" t="inlineStr"/>
      <c r="C584" t="inlineStr">
        <is>
          <t>Delinquency</t>
        </is>
      </c>
      <c r="D584" t="n">
        <v>-5732</v>
      </c>
    </row>
    <row r="585">
      <c r="A585" s="1" t="n">
        <v>45870</v>
      </c>
      <c r="B585" t="inlineStr"/>
      <c r="C585" t="inlineStr">
        <is>
          <t>EFFECTIVE GROSS INCOME (EGI)</t>
        </is>
      </c>
      <c r="D585" t="n">
        <v>155119.11</v>
      </c>
    </row>
    <row r="586">
      <c r="A586" s="1" t="n">
        <v>45870</v>
      </c>
      <c r="B586" t="inlineStr"/>
      <c r="C586" t="inlineStr">
        <is>
          <t>Effective Rental Income</t>
        </is>
      </c>
      <c r="D586" t="n">
        <v>148591</v>
      </c>
    </row>
    <row r="587">
      <c r="A587" s="1" t="n">
        <v>45870</v>
      </c>
      <c r="B587" t="inlineStr"/>
      <c r="C587" t="inlineStr">
        <is>
          <t>Electricity</t>
        </is>
      </c>
      <c r="D587" t="n">
        <v>1108.18</v>
      </c>
    </row>
    <row r="588">
      <c r="A588" s="1" t="n">
        <v>45870</v>
      </c>
      <c r="B588" t="inlineStr"/>
      <c r="C588" t="inlineStr">
        <is>
          <t>Expense Ratio</t>
        </is>
      </c>
      <c r="D588" t="n">
        <v>0.4410413391361001</v>
      </c>
    </row>
    <row r="589">
      <c r="A589" s="1" t="n">
        <v>45870</v>
      </c>
      <c r="B589" t="inlineStr"/>
      <c r="C589" t="inlineStr">
        <is>
          <t>Flooring</t>
        </is>
      </c>
      <c r="D589" t="n">
        <v>1200</v>
      </c>
    </row>
    <row r="590">
      <c r="A590" s="1" t="n">
        <v>45870</v>
      </c>
      <c r="B590" t="inlineStr"/>
      <c r="C590" t="inlineStr">
        <is>
          <t>Garbage &amp; Recycling</t>
        </is>
      </c>
      <c r="D590" t="n">
        <v>5605.37</v>
      </c>
    </row>
    <row r="591">
      <c r="A591" s="1" t="n">
        <v>45870</v>
      </c>
      <c r="B591" t="inlineStr"/>
      <c r="C591" t="inlineStr">
        <is>
          <t>Gas</t>
        </is>
      </c>
      <c r="D591" t="n">
        <v>2272.47</v>
      </c>
    </row>
    <row r="592">
      <c r="A592" s="1" t="n">
        <v>45870</v>
      </c>
      <c r="B592" t="inlineStr"/>
      <c r="C592" t="inlineStr">
        <is>
          <t>General Maint. Labor</t>
        </is>
      </c>
      <c r="D592" t="n">
        <v>7092.2</v>
      </c>
    </row>
    <row r="593">
      <c r="A593" s="1" t="n">
        <v>45870</v>
      </c>
      <c r="B593" t="inlineStr"/>
      <c r="C593" t="inlineStr">
        <is>
          <t>Gross Potential Rent</t>
        </is>
      </c>
      <c r="D593" t="n">
        <v>169200</v>
      </c>
    </row>
    <row r="594">
      <c r="A594" s="1" t="n">
        <v>45870</v>
      </c>
      <c r="B594" t="inlineStr"/>
      <c r="C594" t="inlineStr">
        <is>
          <t>Insurance Services</t>
        </is>
      </c>
      <c r="D594" t="n">
        <v>920</v>
      </c>
    </row>
    <row r="595">
      <c r="A595" s="1" t="n">
        <v>45870</v>
      </c>
      <c r="B595" t="inlineStr"/>
      <c r="C595" t="inlineStr">
        <is>
          <t>Interest</t>
        </is>
      </c>
      <c r="D595" t="n">
        <v>41222.46</v>
      </c>
    </row>
    <row r="596">
      <c r="A596" s="1" t="n">
        <v>45870</v>
      </c>
      <c r="B596" t="inlineStr"/>
      <c r="C596" t="inlineStr">
        <is>
          <t>Interest Income</t>
        </is>
      </c>
      <c r="D596" t="n">
        <v>319.11</v>
      </c>
    </row>
    <row r="597">
      <c r="A597" s="1" t="n">
        <v>45870</v>
      </c>
      <c r="B597" t="inlineStr"/>
      <c r="C597" t="inlineStr">
        <is>
          <t>Internet</t>
        </is>
      </c>
      <c r="D597" t="n">
        <v>1766.09</v>
      </c>
    </row>
    <row r="598">
      <c r="A598" s="1" t="n">
        <v>45870</v>
      </c>
      <c r="B598" t="inlineStr"/>
      <c r="C598" t="inlineStr">
        <is>
          <t>Internet Charges</t>
        </is>
      </c>
      <c r="D598" t="n">
        <v>2050</v>
      </c>
    </row>
    <row r="599">
      <c r="A599" s="1" t="n">
        <v>45870</v>
      </c>
      <c r="B599" t="inlineStr"/>
      <c r="C599" t="inlineStr">
        <is>
          <t>Labor</t>
        </is>
      </c>
      <c r="D599" t="n">
        <v>6810.89</v>
      </c>
    </row>
    <row r="600">
      <c r="A600" s="1" t="n">
        <v>45870</v>
      </c>
      <c r="B600" t="inlineStr"/>
      <c r="C600" t="inlineStr">
        <is>
          <t>Landscaping</t>
        </is>
      </c>
      <c r="D600" t="n">
        <v>2496.08</v>
      </c>
    </row>
    <row r="601">
      <c r="A601" s="1" t="n">
        <v>45870</v>
      </c>
      <c r="B601" t="inlineStr"/>
      <c r="C601" t="inlineStr">
        <is>
          <t>Late Fees</t>
        </is>
      </c>
      <c r="D601" t="n">
        <v>2144</v>
      </c>
    </row>
    <row r="602">
      <c r="A602" s="1" t="n">
        <v>45870</v>
      </c>
      <c r="B602" t="inlineStr"/>
      <c r="C602" t="inlineStr">
        <is>
          <t>Legal</t>
        </is>
      </c>
      <c r="D602" t="n">
        <v>-502</v>
      </c>
    </row>
    <row r="603">
      <c r="A603" s="1" t="n">
        <v>45870</v>
      </c>
      <c r="B603" t="inlineStr"/>
      <c r="C603" t="inlineStr">
        <is>
          <t>Loss/Gain to Market</t>
        </is>
      </c>
      <c r="D603" t="n">
        <v>-11983.32</v>
      </c>
    </row>
    <row r="604">
      <c r="A604" s="1" t="n">
        <v>45870</v>
      </c>
      <c r="B604" t="inlineStr"/>
      <c r="C604" t="inlineStr">
        <is>
          <t>Management Fee (4%)</t>
        </is>
      </c>
      <c r="D604" t="n">
        <v>6302</v>
      </c>
    </row>
    <row r="605">
      <c r="A605" s="1" t="n">
        <v>45870</v>
      </c>
      <c r="B605" t="inlineStr"/>
      <c r="C605" t="inlineStr">
        <is>
          <t>Monthly Cash-on-Cash (Ann.)</t>
        </is>
      </c>
      <c r="D605" t="n">
        <v>0.1</v>
      </c>
    </row>
    <row r="606">
      <c r="A606" s="1" t="n">
        <v>45870</v>
      </c>
      <c r="B606" t="inlineStr"/>
      <c r="C606" t="inlineStr">
        <is>
          <t>Move-In Fees</t>
        </is>
      </c>
      <c r="D606" t="n">
        <v>750</v>
      </c>
    </row>
    <row r="607">
      <c r="A607" s="1" t="n">
        <v>45870</v>
      </c>
      <c r="B607" t="inlineStr"/>
      <c r="C607" t="inlineStr">
        <is>
          <t>NET CASH FLOW</t>
        </is>
      </c>
      <c r="D607" t="n">
        <v>15518.98999999998</v>
      </c>
    </row>
    <row r="608">
      <c r="A608" s="1" t="n">
        <v>45870</v>
      </c>
      <c r="B608" t="inlineStr"/>
      <c r="C608" t="inlineStr">
        <is>
          <t>NET OPERATING INCOME (NOI)</t>
        </is>
      </c>
      <c r="D608" t="n">
        <v>86705.16999999998</v>
      </c>
    </row>
    <row r="609">
      <c r="A609" s="1" t="n">
        <v>45870</v>
      </c>
      <c r="B609" t="inlineStr"/>
      <c r="C609" t="inlineStr">
        <is>
          <t>NSF Fees</t>
        </is>
      </c>
      <c r="D609" t="n">
        <v>165</v>
      </c>
    </row>
    <row r="610">
      <c r="A610" s="1" t="n">
        <v>45870</v>
      </c>
      <c r="B610" t="inlineStr"/>
      <c r="C610" t="inlineStr">
        <is>
          <t>Other Rent Adjustments</t>
        </is>
      </c>
      <c r="D610" t="n">
        <v>2766</v>
      </c>
    </row>
    <row r="611">
      <c r="A611" s="1" t="n">
        <v>45870</v>
      </c>
      <c r="B611" t="inlineStr"/>
      <c r="C611" t="inlineStr">
        <is>
          <t>Payroll</t>
        </is>
      </c>
      <c r="D611" t="n">
        <v>3941.25</v>
      </c>
    </row>
    <row r="612">
      <c r="A612" s="1" t="n">
        <v>45870</v>
      </c>
      <c r="B612" t="inlineStr"/>
      <c r="C612" t="inlineStr">
        <is>
          <t>Principal</t>
        </is>
      </c>
      <c r="D612" t="n">
        <v>8936.35</v>
      </c>
    </row>
    <row r="613">
      <c r="A613" s="1" t="n">
        <v>45870</v>
      </c>
      <c r="B613" t="inlineStr"/>
      <c r="C613" t="inlineStr">
        <is>
          <t>Professional - Other</t>
        </is>
      </c>
      <c r="D613" t="n">
        <v>-1000</v>
      </c>
    </row>
    <row r="614">
      <c r="A614" s="1" t="n">
        <v>45870</v>
      </c>
      <c r="B614" t="inlineStr"/>
      <c r="C614" t="inlineStr">
        <is>
          <t>Property Insurance</t>
        </is>
      </c>
      <c r="D614" t="n">
        <v>8980</v>
      </c>
    </row>
    <row r="615">
      <c r="A615" s="1" t="n">
        <v>45870</v>
      </c>
      <c r="B615" t="inlineStr"/>
      <c r="C615" t="inlineStr">
        <is>
          <t>Real Estate Taxes</t>
        </is>
      </c>
      <c r="D615" t="n">
        <v>18823.25</v>
      </c>
    </row>
    <row r="616">
      <c r="A616" s="1" t="n">
        <v>45870</v>
      </c>
      <c r="B616" t="inlineStr"/>
      <c r="C616" t="inlineStr">
        <is>
          <t>Security Service</t>
        </is>
      </c>
      <c r="D616" t="n">
        <v>779.11</v>
      </c>
    </row>
    <row r="617">
      <c r="A617" s="1" t="n">
        <v>45870</v>
      </c>
      <c r="B617" t="inlineStr"/>
      <c r="C617" t="inlineStr">
        <is>
          <t>Supplies</t>
        </is>
      </c>
      <c r="D617" t="n">
        <v>3488.63</v>
      </c>
    </row>
    <row r="618">
      <c r="A618" s="1" t="n">
        <v>45870</v>
      </c>
      <c r="B618" t="inlineStr"/>
      <c r="C618" t="inlineStr">
        <is>
          <t>Total Capital Expenditures</t>
        </is>
      </c>
      <c r="D618" t="n">
        <v>21027.37</v>
      </c>
    </row>
    <row r="619">
      <c r="A619" s="1" t="n">
        <v>45870</v>
      </c>
      <c r="B619" t="inlineStr"/>
      <c r="C619" t="inlineStr">
        <is>
          <t>Total Debt Service</t>
        </is>
      </c>
      <c r="D619" t="n">
        <v>50158.81</v>
      </c>
    </row>
    <row r="620">
      <c r="A620" s="1" t="n">
        <v>45870</v>
      </c>
      <c r="B620" t="inlineStr"/>
      <c r="C620" t="inlineStr">
        <is>
          <t>Total Operating Expenses</t>
        </is>
      </c>
      <c r="D620" t="n">
        <v>68413.94</v>
      </c>
    </row>
    <row r="621">
      <c r="A621" s="1" t="n">
        <v>45870</v>
      </c>
      <c r="B621" t="inlineStr"/>
      <c r="C621" t="inlineStr">
        <is>
          <t>Total Other Income</t>
        </is>
      </c>
      <c r="D621" t="n">
        <v>6528.11</v>
      </c>
    </row>
    <row r="622">
      <c r="A622" s="1" t="n">
        <v>45870</v>
      </c>
      <c r="B622" t="inlineStr"/>
      <c r="C622" t="inlineStr">
        <is>
          <t>Vacancy</t>
        </is>
      </c>
      <c r="D622" t="n">
        <v>-5659.68</v>
      </c>
    </row>
    <row r="623">
      <c r="A623" s="1" t="n">
        <v>45901</v>
      </c>
      <c r="B623" t="inlineStr"/>
      <c r="C623" t="inlineStr">
        <is>
          <t>Accounting</t>
        </is>
      </c>
      <c r="D623" t="n">
        <v>2854.53</v>
      </c>
    </row>
    <row r="624">
      <c r="A624" s="1" t="n">
        <v>45901</v>
      </c>
      <c r="B624" t="inlineStr"/>
      <c r="C624" t="inlineStr">
        <is>
          <t>Application Fees</t>
        </is>
      </c>
      <c r="D624" t="n">
        <v>230</v>
      </c>
    </row>
    <row r="625">
      <c r="A625" s="1" t="n">
        <v>45901</v>
      </c>
      <c r="B625" t="inlineStr"/>
      <c r="C625" t="inlineStr">
        <is>
          <t>Bank Fees</t>
        </is>
      </c>
      <c r="D625" t="n">
        <v>29</v>
      </c>
    </row>
    <row r="626">
      <c r="A626" s="1" t="n">
        <v>45901</v>
      </c>
      <c r="B626" t="inlineStr"/>
      <c r="C626" t="inlineStr">
        <is>
          <t>CASH FLOW AFTER DEBT SERVICE</t>
        </is>
      </c>
      <c r="D626" t="n">
        <v>21558.53999999998</v>
      </c>
    </row>
    <row r="627">
      <c r="A627" s="1" t="n">
        <v>45901</v>
      </c>
      <c r="B627" t="inlineStr"/>
      <c r="C627" t="inlineStr">
        <is>
          <t>Cap Rate</t>
        </is>
      </c>
      <c r="D627" t="n">
        <v>0.07171734999999997</v>
      </c>
    </row>
    <row r="628">
      <c r="A628" s="1" t="n">
        <v>45901</v>
      </c>
      <c r="B628" t="inlineStr"/>
      <c r="C628" t="inlineStr">
        <is>
          <t>Cash-on-Cash (Ann.)</t>
        </is>
      </c>
      <c r="D628" t="n">
        <v>0.03963512775330391</v>
      </c>
    </row>
    <row r="629">
      <c r="A629" s="1" t="n">
        <v>45901</v>
      </c>
      <c r="B629" t="inlineStr"/>
      <c r="C629" t="inlineStr">
        <is>
          <t>Cash-on-Cash (CFADS)</t>
        </is>
      </c>
      <c r="D629" t="n">
        <v>0.0569829251101321</v>
      </c>
    </row>
    <row r="630">
      <c r="A630" s="1" t="n">
        <v>45901</v>
      </c>
      <c r="B630" t="inlineStr"/>
      <c r="C630" t="inlineStr">
        <is>
          <t>Cleaning &amp; Maint</t>
        </is>
      </c>
      <c r="D630" t="n">
        <v>874.05</v>
      </c>
    </row>
    <row r="631">
      <c r="A631" s="1" t="n">
        <v>45901</v>
      </c>
      <c r="B631" t="inlineStr"/>
      <c r="C631" t="inlineStr">
        <is>
          <t>Common Area Cleaning</t>
        </is>
      </c>
      <c r="D631" t="n">
        <v>1350</v>
      </c>
    </row>
    <row r="632">
      <c r="A632" s="1" t="n">
        <v>45901</v>
      </c>
      <c r="B632" t="inlineStr"/>
      <c r="C632" t="inlineStr">
        <is>
          <t>DSCR</t>
        </is>
      </c>
      <c r="D632" t="n">
        <v>1.429805651290371</v>
      </c>
    </row>
    <row r="633">
      <c r="A633" s="1" t="n">
        <v>45901</v>
      </c>
      <c r="B633" t="inlineStr"/>
      <c r="C633" t="inlineStr">
        <is>
          <t>Delinquency</t>
        </is>
      </c>
      <c r="D633" t="n">
        <v>-3353.82</v>
      </c>
    </row>
    <row r="634">
      <c r="A634" s="1" t="n">
        <v>45901</v>
      </c>
      <c r="B634" t="inlineStr"/>
      <c r="C634" t="inlineStr">
        <is>
          <t>EFFECTIVE GROSS INCOME (EGI)</t>
        </is>
      </c>
      <c r="D634" t="n">
        <v>162978.72</v>
      </c>
    </row>
    <row r="635">
      <c r="A635" s="1" t="n">
        <v>45901</v>
      </c>
      <c r="B635" t="inlineStr"/>
      <c r="C635" t="inlineStr">
        <is>
          <t>Effective Rental Income</t>
        </is>
      </c>
      <c r="D635" t="n">
        <v>153672.18</v>
      </c>
    </row>
    <row r="636">
      <c r="A636" s="1" t="n">
        <v>45901</v>
      </c>
      <c r="B636" t="inlineStr"/>
      <c r="C636" t="inlineStr">
        <is>
          <t>Electricity</t>
        </is>
      </c>
      <c r="D636" t="n">
        <v>1854.34</v>
      </c>
    </row>
    <row r="637">
      <c r="A637" s="1" t="n">
        <v>45901</v>
      </c>
      <c r="B637" t="inlineStr"/>
      <c r="C637" t="inlineStr">
        <is>
          <t>Expense Ratio</t>
        </is>
      </c>
      <c r="D637" t="n">
        <v>0.5599588093463983</v>
      </c>
    </row>
    <row r="638">
      <c r="A638" s="1" t="n">
        <v>45901</v>
      </c>
      <c r="B638" t="inlineStr"/>
      <c r="C638" t="inlineStr">
        <is>
          <t>Flooring</t>
        </is>
      </c>
      <c r="D638" t="n">
        <v>1800</v>
      </c>
    </row>
    <row r="639">
      <c r="A639" s="1" t="n">
        <v>45901</v>
      </c>
      <c r="B639" t="inlineStr"/>
      <c r="C639" t="inlineStr">
        <is>
          <t>Garbage &amp; Recycling</t>
        </is>
      </c>
      <c r="D639" t="n">
        <v>2945.32</v>
      </c>
    </row>
    <row r="640">
      <c r="A640" s="1" t="n">
        <v>45901</v>
      </c>
      <c r="B640" t="inlineStr"/>
      <c r="C640" t="inlineStr">
        <is>
          <t>Gas</t>
        </is>
      </c>
      <c r="D640" t="n">
        <v>2277.63</v>
      </c>
    </row>
    <row r="641">
      <c r="A641" s="1" t="n">
        <v>45901</v>
      </c>
      <c r="B641" t="inlineStr"/>
      <c r="C641" t="inlineStr">
        <is>
          <t>General Maint. Labor</t>
        </is>
      </c>
      <c r="D641" t="n">
        <v>7693.6</v>
      </c>
    </row>
    <row r="642">
      <c r="A642" s="1" t="n">
        <v>45901</v>
      </c>
      <c r="B642" t="inlineStr"/>
      <c r="C642" t="inlineStr">
        <is>
          <t>Gross Potential Rent</t>
        </is>
      </c>
      <c r="D642" t="n">
        <v>169155</v>
      </c>
    </row>
    <row r="643">
      <c r="A643" s="1" t="n">
        <v>45901</v>
      </c>
      <c r="B643" t="inlineStr"/>
      <c r="C643" t="inlineStr">
        <is>
          <t>Insurance Services</t>
        </is>
      </c>
      <c r="D643" t="n">
        <v>956.03</v>
      </c>
    </row>
    <row r="644">
      <c r="A644" s="1" t="n">
        <v>45901</v>
      </c>
      <c r="B644" t="inlineStr"/>
      <c r="C644" t="inlineStr">
        <is>
          <t>Interest</t>
        </is>
      </c>
      <c r="D644" t="n">
        <v>39811.42</v>
      </c>
    </row>
    <row r="645">
      <c r="A645" s="1" t="n">
        <v>45901</v>
      </c>
      <c r="B645" t="inlineStr"/>
      <c r="C645" t="inlineStr">
        <is>
          <t>Interest Income</t>
        </is>
      </c>
      <c r="D645" t="n">
        <v>314.91</v>
      </c>
    </row>
    <row r="646">
      <c r="A646" s="1" t="n">
        <v>45901</v>
      </c>
      <c r="B646" t="inlineStr"/>
      <c r="C646" t="inlineStr">
        <is>
          <t>Internet</t>
        </is>
      </c>
      <c r="D646" t="n">
        <v>688.6799999999999</v>
      </c>
    </row>
    <row r="647">
      <c r="A647" s="1" t="n">
        <v>45901</v>
      </c>
      <c r="B647" t="inlineStr"/>
      <c r="C647" t="inlineStr">
        <is>
          <t>Internet Charges</t>
        </is>
      </c>
      <c r="D647" t="n">
        <v>2495</v>
      </c>
    </row>
    <row r="648">
      <c r="A648" s="1" t="n">
        <v>45901</v>
      </c>
      <c r="B648" t="inlineStr"/>
      <c r="C648" t="inlineStr">
        <is>
          <t>Landscaping</t>
        </is>
      </c>
      <c r="D648" t="n">
        <v>1980.58</v>
      </c>
    </row>
    <row r="649">
      <c r="A649" s="1" t="n">
        <v>45901</v>
      </c>
      <c r="B649" t="inlineStr"/>
      <c r="C649" t="inlineStr">
        <is>
          <t>Late Fees</t>
        </is>
      </c>
      <c r="D649" t="n">
        <v>2785.6</v>
      </c>
    </row>
    <row r="650">
      <c r="A650" s="1" t="n">
        <v>45901</v>
      </c>
      <c r="B650" t="inlineStr"/>
      <c r="C650" t="inlineStr">
        <is>
          <t>Legal</t>
        </is>
      </c>
      <c r="D650" t="n">
        <v>2995.5</v>
      </c>
    </row>
    <row r="651">
      <c r="A651" s="1" t="n">
        <v>45901</v>
      </c>
      <c r="B651" t="inlineStr"/>
      <c r="C651" t="inlineStr">
        <is>
          <t>Loss/Gain to Market</t>
        </is>
      </c>
      <c r="D651" t="n">
        <v>-11215</v>
      </c>
    </row>
    <row r="652">
      <c r="A652" s="1" t="n">
        <v>45901</v>
      </c>
      <c r="B652" t="inlineStr"/>
      <c r="C652" t="inlineStr">
        <is>
          <t>Management Fee (4%)</t>
        </is>
      </c>
      <c r="D652" t="n">
        <v>6214</v>
      </c>
    </row>
    <row r="653">
      <c r="A653" s="1" t="n">
        <v>45901</v>
      </c>
      <c r="B653" t="inlineStr"/>
      <c r="C653" t="inlineStr">
        <is>
          <t>Meals</t>
        </is>
      </c>
      <c r="D653" t="n">
        <v>36.63</v>
      </c>
    </row>
    <row r="654">
      <c r="A654" s="1" t="n">
        <v>45901</v>
      </c>
      <c r="B654" t="inlineStr"/>
      <c r="C654" t="inlineStr">
        <is>
          <t>Monthly Cash-on-Cash (Ann.)</t>
        </is>
      </c>
      <c r="D654" t="n">
        <v>0.06</v>
      </c>
    </row>
    <row r="655">
      <c r="A655" s="1" t="n">
        <v>45901</v>
      </c>
      <c r="B655" t="inlineStr"/>
      <c r="C655" t="inlineStr">
        <is>
          <t>Move-In Fees</t>
        </is>
      </c>
      <c r="D655" t="n">
        <v>2250</v>
      </c>
    </row>
    <row r="656">
      <c r="A656" s="1" t="n">
        <v>45901</v>
      </c>
      <c r="B656" t="inlineStr"/>
      <c r="C656" t="inlineStr">
        <is>
          <t>NET CASH FLOW</t>
        </is>
      </c>
      <c r="D656" t="n">
        <v>14995.28999999998</v>
      </c>
    </row>
    <row r="657">
      <c r="A657" s="1" t="n">
        <v>45901</v>
      </c>
      <c r="B657" t="inlineStr"/>
      <c r="C657" t="inlineStr">
        <is>
          <t>NET OPERATING INCOME (NOI)</t>
        </is>
      </c>
      <c r="D657" t="n">
        <v>71717.34999999998</v>
      </c>
    </row>
    <row r="658">
      <c r="A658" s="1" t="n">
        <v>45901</v>
      </c>
      <c r="B658" t="inlineStr"/>
      <c r="C658" t="inlineStr">
        <is>
          <t>NSF Fees</t>
        </is>
      </c>
      <c r="D658" t="n">
        <v>275</v>
      </c>
    </row>
    <row r="659">
      <c r="A659" s="1" t="n">
        <v>45901</v>
      </c>
      <c r="B659" t="inlineStr"/>
      <c r="C659" t="inlineStr">
        <is>
          <t>Other Rent Adjustments</t>
        </is>
      </c>
      <c r="D659" t="n">
        <v>1386</v>
      </c>
    </row>
    <row r="660">
      <c r="A660" s="1" t="n">
        <v>45901</v>
      </c>
      <c r="B660" t="inlineStr"/>
      <c r="C660" t="inlineStr">
        <is>
          <t>Painting</t>
        </is>
      </c>
      <c r="D660" t="n">
        <v>1500</v>
      </c>
    </row>
    <row r="661">
      <c r="A661" s="1" t="n">
        <v>45901</v>
      </c>
      <c r="B661" t="inlineStr"/>
      <c r="C661" t="inlineStr">
        <is>
          <t>Payroll</t>
        </is>
      </c>
      <c r="D661" t="n">
        <v>2773.75</v>
      </c>
    </row>
    <row r="662">
      <c r="A662" s="1" t="n">
        <v>45901</v>
      </c>
      <c r="B662" t="inlineStr"/>
      <c r="C662" t="inlineStr">
        <is>
          <t>Pest Control</t>
        </is>
      </c>
      <c r="D662" t="n">
        <v>613.16</v>
      </c>
    </row>
    <row r="663">
      <c r="A663" s="1" t="n">
        <v>45901</v>
      </c>
      <c r="B663" t="inlineStr"/>
      <c r="C663" t="inlineStr">
        <is>
          <t>Plumbing</t>
        </is>
      </c>
      <c r="D663" t="n">
        <v>765</v>
      </c>
    </row>
    <row r="664">
      <c r="A664" s="1" t="n">
        <v>45901</v>
      </c>
      <c r="B664" t="inlineStr"/>
      <c r="C664" t="inlineStr">
        <is>
          <t>Principal</t>
        </is>
      </c>
      <c r="D664" t="n">
        <v>10347.39</v>
      </c>
    </row>
    <row r="665">
      <c r="A665" s="1" t="n">
        <v>45901</v>
      </c>
      <c r="B665" t="inlineStr"/>
      <c r="C665" t="inlineStr">
        <is>
          <t>Property Insurance</t>
        </is>
      </c>
      <c r="D665" t="n">
        <v>8980</v>
      </c>
    </row>
    <row r="666">
      <c r="A666" s="1" t="n">
        <v>45901</v>
      </c>
      <c r="B666" t="inlineStr"/>
      <c r="C666" t="inlineStr">
        <is>
          <t>Real Estate Taxes</t>
        </is>
      </c>
      <c r="D666" t="n">
        <v>18823.25</v>
      </c>
    </row>
    <row r="667">
      <c r="A667" s="1" t="n">
        <v>45901</v>
      </c>
      <c r="B667" t="inlineStr"/>
      <c r="C667" t="inlineStr">
        <is>
          <t>Security Service</t>
        </is>
      </c>
      <c r="D667" t="n">
        <v>-3500</v>
      </c>
    </row>
    <row r="668">
      <c r="A668" s="1" t="n">
        <v>45901</v>
      </c>
      <c r="B668" t="inlineStr"/>
      <c r="C668" t="inlineStr">
        <is>
          <t>Supplies</t>
        </is>
      </c>
      <c r="D668" t="n">
        <v>4763.25</v>
      </c>
    </row>
    <row r="669">
      <c r="A669" s="1" t="n">
        <v>45901</v>
      </c>
      <c r="B669" t="inlineStr"/>
      <c r="C669" t="inlineStr">
        <is>
          <t>Total Capital Expenditures</t>
        </is>
      </c>
      <c r="D669" t="n">
        <v>6563.25</v>
      </c>
    </row>
    <row r="670">
      <c r="A670" s="1" t="n">
        <v>45901</v>
      </c>
      <c r="B670" t="inlineStr"/>
      <c r="C670" t="inlineStr">
        <is>
          <t>Total Debt Service</t>
        </is>
      </c>
      <c r="D670" t="n">
        <v>50158.81</v>
      </c>
    </row>
    <row r="671">
      <c r="A671" s="1" t="n">
        <v>45901</v>
      </c>
      <c r="B671" t="inlineStr"/>
      <c r="C671" t="inlineStr">
        <is>
          <t>Total Operating Expenses</t>
        </is>
      </c>
      <c r="D671" t="n">
        <v>91261.37000000002</v>
      </c>
    </row>
    <row r="672">
      <c r="A672" s="1" t="n">
        <v>45901</v>
      </c>
      <c r="B672" t="inlineStr"/>
      <c r="C672" t="inlineStr">
        <is>
          <t>Total Other Income</t>
        </is>
      </c>
      <c r="D672" t="n">
        <v>9306.540000000001</v>
      </c>
    </row>
    <row r="673">
      <c r="A673" s="1" t="n">
        <v>45901</v>
      </c>
      <c r="B673" t="inlineStr"/>
      <c r="C673" t="inlineStr">
        <is>
          <t>Vacancy</t>
        </is>
      </c>
      <c r="D673" t="n">
        <v>-2300</v>
      </c>
    </row>
    <row r="674">
      <c r="A674" s="1" t="n">
        <v>45901</v>
      </c>
      <c r="B674" t="inlineStr"/>
      <c r="C674" t="inlineStr">
        <is>
          <t>Water</t>
        </is>
      </c>
      <c r="D674" t="n">
        <v>22949.1</v>
      </c>
    </row>
    <row r="675">
      <c r="A675" s="1" t="n">
        <v>45931</v>
      </c>
      <c r="B675" t="inlineStr"/>
      <c r="C675" t="inlineStr">
        <is>
          <t>Accounting</t>
        </is>
      </c>
      <c r="D675" t="n">
        <v>2937.79</v>
      </c>
    </row>
    <row r="676">
      <c r="A676" s="1" t="n">
        <v>45931</v>
      </c>
      <c r="B676" t="inlineStr"/>
      <c r="C676" t="inlineStr">
        <is>
          <t>Advertising</t>
        </is>
      </c>
      <c r="D676" t="n">
        <v>129.3</v>
      </c>
    </row>
    <row r="677">
      <c r="A677" s="1" t="n">
        <v>45931</v>
      </c>
      <c r="B677" t="inlineStr"/>
      <c r="C677" t="inlineStr">
        <is>
          <t>Appliances</t>
        </is>
      </c>
      <c r="D677" t="n">
        <v>7265.75</v>
      </c>
    </row>
    <row r="678">
      <c r="A678" s="1" t="n">
        <v>45931</v>
      </c>
      <c r="B678" t="inlineStr"/>
      <c r="C678" t="inlineStr">
        <is>
          <t>Application Fees</t>
        </is>
      </c>
      <c r="D678" t="n">
        <v>180</v>
      </c>
    </row>
    <row r="679">
      <c r="A679" s="1" t="n">
        <v>45931</v>
      </c>
      <c r="B679" t="inlineStr"/>
      <c r="C679" t="inlineStr">
        <is>
          <t>Bank Fees</t>
        </is>
      </c>
      <c r="D679" t="n">
        <v>10</v>
      </c>
    </row>
    <row r="680">
      <c r="A680" s="1" t="n">
        <v>45931</v>
      </c>
      <c r="B680" t="inlineStr"/>
      <c r="C680" t="inlineStr">
        <is>
          <t>CASH FLOW AFTER DEBT SERVICE</t>
        </is>
      </c>
      <c r="D680" t="n">
        <v>35157.21000000001</v>
      </c>
    </row>
    <row r="681">
      <c r="A681" s="1" t="n">
        <v>45931</v>
      </c>
      <c r="B681" t="inlineStr"/>
      <c r="C681" t="inlineStr">
        <is>
          <t>Cap Rate</t>
        </is>
      </c>
      <c r="D681" t="n">
        <v>0.08531601999999999</v>
      </c>
    </row>
    <row r="682">
      <c r="A682" s="1" t="n">
        <v>45931</v>
      </c>
      <c r="B682" t="inlineStr"/>
      <c r="C682" t="inlineStr">
        <is>
          <t>Cash-on-Cash (Ann.)</t>
        </is>
      </c>
      <c r="D682" t="n">
        <v>0.05102241409691632</v>
      </c>
    </row>
    <row r="683">
      <c r="A683" s="1" t="n">
        <v>45931</v>
      </c>
      <c r="B683" t="inlineStr"/>
      <c r="C683" t="inlineStr">
        <is>
          <t>Cash-on-Cash (CFADS)</t>
        </is>
      </c>
      <c r="D683" t="n">
        <v>0.09292654625550663</v>
      </c>
    </row>
    <row r="684">
      <c r="A684" s="1" t="n">
        <v>45931</v>
      </c>
      <c r="B684" t="inlineStr"/>
      <c r="C684" t="inlineStr">
        <is>
          <t>Cleaning &amp; Maint</t>
        </is>
      </c>
      <c r="D684" t="n">
        <v>1100</v>
      </c>
    </row>
    <row r="685">
      <c r="A685" s="1" t="n">
        <v>45931</v>
      </c>
      <c r="B685" t="inlineStr"/>
      <c r="C685" t="inlineStr">
        <is>
          <t>Common Area Cleaning</t>
        </is>
      </c>
      <c r="D685" t="n">
        <v>2700</v>
      </c>
    </row>
    <row r="686">
      <c r="A686" s="1" t="n">
        <v>45931</v>
      </c>
      <c r="B686" t="inlineStr"/>
      <c r="C686" t="inlineStr">
        <is>
          <t>DSCR</t>
        </is>
      </c>
      <c r="D686" t="n">
        <v>1.700917944424918</v>
      </c>
    </row>
    <row r="687">
      <c r="A687" s="1" t="n">
        <v>45931</v>
      </c>
      <c r="B687" t="inlineStr"/>
      <c r="C687" t="inlineStr">
        <is>
          <t>Delinquency</t>
        </is>
      </c>
      <c r="D687" t="n">
        <v>-3353.82</v>
      </c>
    </row>
    <row r="688">
      <c r="A688" s="1" t="n">
        <v>45931</v>
      </c>
      <c r="B688" t="inlineStr"/>
      <c r="C688" t="inlineStr">
        <is>
          <t>EFFECTIVE GROSS INCOME (EGI)</t>
        </is>
      </c>
      <c r="D688" t="n">
        <v>160311.06</v>
      </c>
    </row>
    <row r="689">
      <c r="A689" s="1" t="n">
        <v>45931</v>
      </c>
      <c r="B689" t="inlineStr"/>
      <c r="C689" t="inlineStr">
        <is>
          <t>Effective Rental Income</t>
        </is>
      </c>
      <c r="D689" t="n">
        <v>152286.18</v>
      </c>
    </row>
    <row r="690">
      <c r="A690" s="1" t="n">
        <v>45931</v>
      </c>
      <c r="B690" t="inlineStr"/>
      <c r="C690" t="inlineStr">
        <is>
          <t>Electricity</t>
        </is>
      </c>
      <c r="D690" t="n">
        <v>1314.89</v>
      </c>
    </row>
    <row r="691">
      <c r="A691" s="1" t="n">
        <v>45931</v>
      </c>
      <c r="B691" t="inlineStr"/>
      <c r="C691" t="inlineStr">
        <is>
          <t>Equipment/Tools</t>
        </is>
      </c>
      <c r="D691" t="n">
        <v>2601</v>
      </c>
    </row>
    <row r="692">
      <c r="A692" s="1" t="n">
        <v>45931</v>
      </c>
      <c r="B692" t="inlineStr"/>
      <c r="C692" t="inlineStr">
        <is>
          <t>Expense Ratio</t>
        </is>
      </c>
      <c r="D692" t="n">
        <v>0.4678095198172852</v>
      </c>
    </row>
    <row r="693">
      <c r="A693" s="1" t="n">
        <v>45931</v>
      </c>
      <c r="B693" t="inlineStr"/>
      <c r="C693" t="inlineStr">
        <is>
          <t>Flooring</t>
        </is>
      </c>
      <c r="D693" t="n">
        <v>2050</v>
      </c>
    </row>
    <row r="694">
      <c r="A694" s="1" t="n">
        <v>45931</v>
      </c>
      <c r="B694" t="inlineStr"/>
      <c r="C694" t="inlineStr">
        <is>
          <t>Garbage &amp; Recycling</t>
        </is>
      </c>
      <c r="D694" t="n">
        <v>3318.44</v>
      </c>
    </row>
    <row r="695">
      <c r="A695" s="1" t="n">
        <v>45931</v>
      </c>
      <c r="B695" t="inlineStr"/>
      <c r="C695" t="inlineStr">
        <is>
          <t>Gas</t>
        </is>
      </c>
      <c r="D695" t="n">
        <v>2111.15</v>
      </c>
    </row>
    <row r="696">
      <c r="A696" s="1" t="n">
        <v>45931</v>
      </c>
      <c r="B696" t="inlineStr"/>
      <c r="C696" t="inlineStr">
        <is>
          <t>General Maint. Labor</t>
        </is>
      </c>
      <c r="D696" t="n">
        <v>12003.29</v>
      </c>
    </row>
    <row r="697">
      <c r="A697" s="1" t="n">
        <v>45931</v>
      </c>
      <c r="B697" t="inlineStr"/>
      <c r="C697" t="inlineStr">
        <is>
          <t>Gross Potential Rent</t>
        </is>
      </c>
      <c r="D697" t="n">
        <v>169155</v>
      </c>
    </row>
    <row r="698">
      <c r="A698" s="1" t="n">
        <v>45931</v>
      </c>
      <c r="B698" t="inlineStr"/>
      <c r="C698" t="inlineStr">
        <is>
          <t>Insurance Services</t>
        </is>
      </c>
      <c r="D698" t="n">
        <v>1008.97</v>
      </c>
    </row>
    <row r="699">
      <c r="A699" s="1" t="n">
        <v>45931</v>
      </c>
      <c r="B699" t="inlineStr"/>
      <c r="C699" t="inlineStr">
        <is>
          <t>Interest</t>
        </is>
      </c>
      <c r="D699" t="n">
        <v>39811.42</v>
      </c>
    </row>
    <row r="700">
      <c r="A700" s="1" t="n">
        <v>45931</v>
      </c>
      <c r="B700" t="inlineStr"/>
      <c r="C700" t="inlineStr">
        <is>
          <t>Interest Income</t>
        </is>
      </c>
      <c r="D700" t="n">
        <v>312.37</v>
      </c>
    </row>
    <row r="701">
      <c r="A701" s="1" t="n">
        <v>45931</v>
      </c>
      <c r="B701" t="inlineStr"/>
      <c r="C701" t="inlineStr">
        <is>
          <t>Internet</t>
        </is>
      </c>
      <c r="D701" t="n">
        <v>605.88</v>
      </c>
    </row>
    <row r="702">
      <c r="A702" s="1" t="n">
        <v>45931</v>
      </c>
      <c r="B702" t="inlineStr"/>
      <c r="C702" t="inlineStr">
        <is>
          <t>Internet Charges</t>
        </is>
      </c>
      <c r="D702" t="n">
        <v>2289.17</v>
      </c>
    </row>
    <row r="703">
      <c r="A703" s="1" t="n">
        <v>45931</v>
      </c>
      <c r="B703" t="inlineStr"/>
      <c r="C703" t="inlineStr">
        <is>
          <t>Landscaping</t>
        </is>
      </c>
      <c r="D703" t="n">
        <v>1627.88</v>
      </c>
    </row>
    <row r="704">
      <c r="A704" s="1" t="n">
        <v>45931</v>
      </c>
      <c r="B704" t="inlineStr"/>
      <c r="C704" t="inlineStr">
        <is>
          <t>Late Fees</t>
        </is>
      </c>
      <c r="D704" t="n">
        <v>2312</v>
      </c>
    </row>
    <row r="705">
      <c r="A705" s="1" t="n">
        <v>45931</v>
      </c>
      <c r="B705" t="inlineStr"/>
      <c r="C705" t="inlineStr">
        <is>
          <t>Legal</t>
        </is>
      </c>
      <c r="D705" t="n">
        <v>2300</v>
      </c>
    </row>
    <row r="706">
      <c r="A706" s="1" t="n">
        <v>45931</v>
      </c>
      <c r="B706" t="inlineStr"/>
      <c r="C706" t="inlineStr">
        <is>
          <t>Loss/Gain to Market</t>
        </is>
      </c>
      <c r="D706" t="n">
        <v>-11215</v>
      </c>
    </row>
    <row r="707">
      <c r="A707" s="1" t="n">
        <v>45931</v>
      </c>
      <c r="B707" t="inlineStr"/>
      <c r="C707" t="inlineStr">
        <is>
          <t>Management Fee (4%)</t>
        </is>
      </c>
      <c r="D707" t="n">
        <v>6507.11</v>
      </c>
    </row>
    <row r="708">
      <c r="A708" s="1" t="n">
        <v>45931</v>
      </c>
      <c r="B708" t="inlineStr"/>
      <c r="C708" t="inlineStr">
        <is>
          <t>Monthly Cash-on-Cash (Ann.)</t>
        </is>
      </c>
      <c r="D708" t="n">
        <v>0.09</v>
      </c>
    </row>
    <row r="709">
      <c r="A709" s="1" t="n">
        <v>45931</v>
      </c>
      <c r="B709" t="inlineStr"/>
      <c r="C709" t="inlineStr">
        <is>
          <t>Move-In Fees</t>
        </is>
      </c>
      <c r="D709" t="n">
        <v>312.37</v>
      </c>
    </row>
    <row r="710">
      <c r="A710" s="1" t="n">
        <v>45931</v>
      </c>
      <c r="B710" t="inlineStr"/>
      <c r="C710" t="inlineStr">
        <is>
          <t>NET CASH FLOW</t>
        </is>
      </c>
      <c r="D710" t="n">
        <v>19303.48000000001</v>
      </c>
    </row>
    <row r="711">
      <c r="A711" s="1" t="n">
        <v>45931</v>
      </c>
      <c r="B711" t="inlineStr"/>
      <c r="C711" t="inlineStr">
        <is>
          <t>NET OPERATING INCOME (NOI)</t>
        </is>
      </c>
      <c r="D711" t="n">
        <v>85316.02</v>
      </c>
    </row>
    <row r="712">
      <c r="A712" s="1" t="n">
        <v>45931</v>
      </c>
      <c r="B712" t="inlineStr"/>
      <c r="C712" t="inlineStr">
        <is>
          <t>NSF Fees</t>
        </is>
      </c>
      <c r="D712" t="n">
        <v>110</v>
      </c>
    </row>
    <row r="713">
      <c r="A713" s="1" t="n">
        <v>45931</v>
      </c>
      <c r="B713" t="inlineStr"/>
      <c r="C713" t="inlineStr">
        <is>
          <t>Payroll</t>
        </is>
      </c>
      <c r="D713" t="n">
        <v>2741.25</v>
      </c>
    </row>
    <row r="714">
      <c r="A714" s="1" t="n">
        <v>45931</v>
      </c>
      <c r="B714" t="inlineStr"/>
      <c r="C714" t="inlineStr">
        <is>
          <t>Plumbing</t>
        </is>
      </c>
      <c r="D714" t="n">
        <v>1342.83</v>
      </c>
    </row>
    <row r="715">
      <c r="A715" s="1" t="n">
        <v>45931</v>
      </c>
      <c r="B715" t="inlineStr"/>
      <c r="C715" t="inlineStr">
        <is>
          <t>Principal</t>
        </is>
      </c>
      <c r="D715" t="n">
        <v>10347.39</v>
      </c>
    </row>
    <row r="716">
      <c r="A716" s="1" t="n">
        <v>45931</v>
      </c>
      <c r="B716" t="inlineStr"/>
      <c r="C716" t="inlineStr">
        <is>
          <t>Professional - Other</t>
        </is>
      </c>
      <c r="D716" t="n">
        <v>455</v>
      </c>
    </row>
    <row r="717">
      <c r="A717" s="1" t="n">
        <v>45931</v>
      </c>
      <c r="B717" t="inlineStr"/>
      <c r="C717" t="inlineStr">
        <is>
          <t>Property Insurance</t>
        </is>
      </c>
      <c r="D717" t="n">
        <v>8980</v>
      </c>
    </row>
    <row r="718">
      <c r="A718" s="1" t="n">
        <v>45931</v>
      </c>
      <c r="B718" t="inlineStr"/>
      <c r="C718" t="inlineStr">
        <is>
          <t>Real Estate Taxes</t>
        </is>
      </c>
      <c r="D718" t="n">
        <v>18823.25</v>
      </c>
    </row>
    <row r="719">
      <c r="A719" s="1" t="n">
        <v>45931</v>
      </c>
      <c r="B719" t="inlineStr"/>
      <c r="C719" t="inlineStr">
        <is>
          <t>Supplies</t>
        </is>
      </c>
      <c r="D719" t="n">
        <v>3936.98</v>
      </c>
    </row>
    <row r="720">
      <c r="A720" s="1" t="n">
        <v>45931</v>
      </c>
      <c r="B720" t="inlineStr"/>
      <c r="C720" t="inlineStr">
        <is>
          <t>Total Capital Expenditures</t>
        </is>
      </c>
      <c r="D720" t="n">
        <v>15853.73</v>
      </c>
    </row>
    <row r="721">
      <c r="A721" s="1" t="n">
        <v>45931</v>
      </c>
      <c r="B721" t="inlineStr"/>
      <c r="C721" t="inlineStr">
        <is>
          <t>Total Debt Service</t>
        </is>
      </c>
      <c r="D721" t="n">
        <v>50158.81</v>
      </c>
    </row>
    <row r="722">
      <c r="A722" s="1" t="n">
        <v>45931</v>
      </c>
      <c r="B722" t="inlineStr"/>
      <c r="C722" t="inlineStr">
        <is>
          <t>Total Operating Expenses</t>
        </is>
      </c>
      <c r="D722" t="n">
        <v>74995.03999999999</v>
      </c>
    </row>
    <row r="723">
      <c r="A723" s="1" t="n">
        <v>45931</v>
      </c>
      <c r="B723" t="inlineStr"/>
      <c r="C723" t="inlineStr">
        <is>
          <t>Total Other Income</t>
        </is>
      </c>
      <c r="D723" t="n">
        <v>8024.88</v>
      </c>
    </row>
    <row r="724">
      <c r="A724" s="1" t="n">
        <v>45931</v>
      </c>
      <c r="B724" t="inlineStr"/>
      <c r="C724" t="inlineStr">
        <is>
          <t>Utility Reimbursement</t>
        </is>
      </c>
      <c r="D724" t="n">
        <v>1500</v>
      </c>
    </row>
    <row r="725">
      <c r="A725" s="1" t="n">
        <v>45931</v>
      </c>
      <c r="B725" t="inlineStr"/>
      <c r="C725" t="inlineStr">
        <is>
          <t>Vacancy</t>
        </is>
      </c>
      <c r="D725" t="n">
        <v>-2300</v>
      </c>
    </row>
    <row r="726">
      <c r="A726" s="1" t="n">
        <v>45962</v>
      </c>
      <c r="B726" t="inlineStr"/>
      <c r="C726" t="inlineStr">
        <is>
          <t>Accounting</t>
        </is>
      </c>
      <c r="D726" t="n">
        <v>3250.76</v>
      </c>
    </row>
    <row r="727">
      <c r="A727" s="1" t="n">
        <v>45962</v>
      </c>
      <c r="B727" t="inlineStr"/>
      <c r="C727" t="inlineStr">
        <is>
          <t>Advertising</t>
        </is>
      </c>
      <c r="D727" t="n">
        <v>558.9299999999999</v>
      </c>
    </row>
    <row r="728">
      <c r="A728" s="1" t="n">
        <v>45962</v>
      </c>
      <c r="B728" t="inlineStr"/>
      <c r="C728" t="inlineStr">
        <is>
          <t>Application Fees</t>
        </is>
      </c>
      <c r="D728" t="n">
        <v>225</v>
      </c>
    </row>
    <row r="729">
      <c r="A729" s="1" t="n">
        <v>45962</v>
      </c>
      <c r="B729" t="inlineStr"/>
      <c r="C729" t="inlineStr">
        <is>
          <t>Bank Fees</t>
        </is>
      </c>
      <c r="D729" t="n">
        <v>20</v>
      </c>
    </row>
    <row r="730">
      <c r="A730" s="1" t="n">
        <v>45962</v>
      </c>
      <c r="B730" t="inlineStr"/>
      <c r="C730" t="inlineStr">
        <is>
          <t>CASH FLOW AFTER DEBT SERVICE</t>
        </is>
      </c>
      <c r="D730" t="n">
        <v>18831.93000000002</v>
      </c>
    </row>
    <row r="731">
      <c r="A731" s="1" t="n">
        <v>45962</v>
      </c>
      <c r="B731" t="inlineStr"/>
      <c r="C731" t="inlineStr">
        <is>
          <t>Cap Rate</t>
        </is>
      </c>
      <c r="D731" t="n">
        <v>0.06899074000000002</v>
      </c>
    </row>
    <row r="732">
      <c r="A732" s="1" t="n">
        <v>45962</v>
      </c>
      <c r="B732" t="inlineStr"/>
      <c r="C732" t="inlineStr">
        <is>
          <t>Carpet Cleaning</t>
        </is>
      </c>
      <c r="D732" t="n">
        <v>219.1</v>
      </c>
    </row>
    <row r="733">
      <c r="A733" s="1" t="n">
        <v>45962</v>
      </c>
      <c r="B733" t="inlineStr"/>
      <c r="C733" t="inlineStr">
        <is>
          <t>Cash-on-Cash (Ann.)</t>
        </is>
      </c>
      <c r="D733" t="n">
        <v>0.01511664317180623</v>
      </c>
    </row>
    <row r="734">
      <c r="A734" s="1" t="n">
        <v>45962</v>
      </c>
      <c r="B734" t="inlineStr"/>
      <c r="C734" t="inlineStr">
        <is>
          <t>Cash-on-Cash (CFADS)</t>
        </is>
      </c>
      <c r="D734" t="n">
        <v>0.04977602643171812</v>
      </c>
    </row>
    <row r="735">
      <c r="A735" s="1" t="n">
        <v>45962</v>
      </c>
      <c r="B735" t="inlineStr"/>
      <c r="C735" t="inlineStr">
        <is>
          <t>Cleaning &amp; Maint</t>
        </is>
      </c>
      <c r="D735" t="n">
        <v>1450</v>
      </c>
    </row>
    <row r="736">
      <c r="A736" s="1" t="n">
        <v>45962</v>
      </c>
      <c r="B736" t="inlineStr"/>
      <c r="C736" t="inlineStr">
        <is>
          <t>Common Area Cleaning</t>
        </is>
      </c>
      <c r="D736" t="n">
        <v>-250</v>
      </c>
    </row>
    <row r="737">
      <c r="A737" s="1" t="n">
        <v>45962</v>
      </c>
      <c r="B737" t="inlineStr"/>
      <c r="C737" t="inlineStr">
        <is>
          <t>DSCR</t>
        </is>
      </c>
      <c r="D737" t="n">
        <v>1.375446108071544</v>
      </c>
    </row>
    <row r="738">
      <c r="A738" s="1" t="n">
        <v>45962</v>
      </c>
      <c r="B738" t="inlineStr"/>
      <c r="C738" t="inlineStr">
        <is>
          <t>Delinquency</t>
        </is>
      </c>
      <c r="D738" t="n">
        <v>-2268.49</v>
      </c>
    </row>
    <row r="739">
      <c r="A739" s="1" t="n">
        <v>45962</v>
      </c>
      <c r="B739" t="inlineStr"/>
      <c r="C739" t="inlineStr">
        <is>
          <t>EFFECTIVE GROSS INCOME (EGI)</t>
        </is>
      </c>
      <c r="D739" t="n">
        <v>158293.61</v>
      </c>
    </row>
    <row r="740">
      <c r="A740" s="1" t="n">
        <v>45962</v>
      </c>
      <c r="B740" t="inlineStr"/>
      <c r="C740" t="inlineStr">
        <is>
          <t>Effective Rental Income</t>
        </is>
      </c>
      <c r="D740" t="n">
        <v>151008.51</v>
      </c>
    </row>
    <row r="741">
      <c r="A741" s="1" t="n">
        <v>45962</v>
      </c>
      <c r="B741" t="inlineStr"/>
      <c r="C741" t="inlineStr">
        <is>
          <t>Expense Ratio</t>
        </is>
      </c>
      <c r="D741" t="n">
        <v>0.5641596650679708</v>
      </c>
    </row>
    <row r="742">
      <c r="A742" s="1" t="n">
        <v>45962</v>
      </c>
      <c r="B742" t="inlineStr"/>
      <c r="C742" t="inlineStr">
        <is>
          <t>Flooring</t>
        </is>
      </c>
      <c r="D742" t="n">
        <v>8397.4</v>
      </c>
    </row>
    <row r="743">
      <c r="A743" s="1" t="n">
        <v>45962</v>
      </c>
      <c r="B743" t="inlineStr"/>
      <c r="C743" t="inlineStr">
        <is>
          <t>Garbage &amp; Recycling</t>
        </is>
      </c>
      <c r="D743" t="n">
        <v>4802.93</v>
      </c>
    </row>
    <row r="744">
      <c r="A744" s="1" t="n">
        <v>45962</v>
      </c>
      <c r="B744" t="inlineStr"/>
      <c r="C744" t="inlineStr">
        <is>
          <t>General Maint. Labor</t>
        </is>
      </c>
      <c r="D744" t="n">
        <v>9774.92</v>
      </c>
    </row>
    <row r="745">
      <c r="A745" s="1" t="n">
        <v>45962</v>
      </c>
      <c r="B745" t="inlineStr"/>
      <c r="C745" t="inlineStr">
        <is>
          <t>Gross Potential Rent</t>
        </is>
      </c>
      <c r="D745" t="n">
        <v>169200</v>
      </c>
    </row>
    <row r="746">
      <c r="A746" s="1" t="n">
        <v>45962</v>
      </c>
      <c r="B746" t="inlineStr"/>
      <c r="C746" t="inlineStr">
        <is>
          <t>Insurance Services</t>
        </is>
      </c>
      <c r="D746" t="n">
        <v>990</v>
      </c>
    </row>
    <row r="747">
      <c r="A747" s="1" t="n">
        <v>45962</v>
      </c>
      <c r="B747" t="inlineStr"/>
      <c r="C747" t="inlineStr">
        <is>
          <t>Interest</t>
        </is>
      </c>
      <c r="D747" t="n">
        <v>41089.95</v>
      </c>
    </row>
    <row r="748">
      <c r="A748" s="1" t="n">
        <v>45962</v>
      </c>
      <c r="B748" t="inlineStr"/>
      <c r="C748" t="inlineStr">
        <is>
          <t>Interest Income</t>
        </is>
      </c>
      <c r="D748" t="n">
        <v>238.15</v>
      </c>
    </row>
    <row r="749">
      <c r="A749" s="1" t="n">
        <v>45962</v>
      </c>
      <c r="B749" t="inlineStr"/>
      <c r="C749" t="inlineStr">
        <is>
          <t>Internet</t>
        </is>
      </c>
      <c r="D749" t="n">
        <v>13656.02</v>
      </c>
    </row>
    <row r="750">
      <c r="A750" s="1" t="n">
        <v>45962</v>
      </c>
      <c r="B750" t="inlineStr"/>
      <c r="C750" t="inlineStr">
        <is>
          <t>Internet Charges</t>
        </is>
      </c>
      <c r="D750" t="n">
        <v>1925</v>
      </c>
    </row>
    <row r="751">
      <c r="A751" s="1" t="n">
        <v>45962</v>
      </c>
      <c r="B751" t="inlineStr"/>
      <c r="C751" t="inlineStr">
        <is>
          <t>Key/Lock</t>
        </is>
      </c>
      <c r="D751" t="n">
        <v>-75</v>
      </c>
    </row>
    <row r="752">
      <c r="A752" s="1" t="n">
        <v>45962</v>
      </c>
      <c r="B752" t="inlineStr"/>
      <c r="C752" t="inlineStr">
        <is>
          <t>Late Fees</t>
        </is>
      </c>
      <c r="D752" t="n">
        <v>2118.8</v>
      </c>
    </row>
    <row r="753">
      <c r="A753" s="1" t="n">
        <v>45962</v>
      </c>
      <c r="B753" t="inlineStr"/>
      <c r="C753" t="inlineStr">
        <is>
          <t>Legal</t>
        </is>
      </c>
      <c r="D753" t="n">
        <v>2454.07</v>
      </c>
    </row>
    <row r="754">
      <c r="A754" s="1" t="n">
        <v>45962</v>
      </c>
      <c r="B754" t="inlineStr"/>
      <c r="C754" t="inlineStr">
        <is>
          <t>Loss/Gain to Market</t>
        </is>
      </c>
      <c r="D754" t="n">
        <v>-12191</v>
      </c>
    </row>
    <row r="755">
      <c r="A755" s="1" t="n">
        <v>45962</v>
      </c>
      <c r="B755" t="inlineStr"/>
      <c r="C755" t="inlineStr">
        <is>
          <t>Management Fee (4%)</t>
        </is>
      </c>
      <c r="D755" t="n">
        <v>6462.92</v>
      </c>
    </row>
    <row r="756">
      <c r="A756" s="1" t="n">
        <v>45962</v>
      </c>
      <c r="B756" t="inlineStr"/>
      <c r="C756" t="inlineStr">
        <is>
          <t>Monthly Cash-on-Cash (Ann.)</t>
        </is>
      </c>
      <c r="D756" t="n">
        <v>0.06</v>
      </c>
    </row>
    <row r="757">
      <c r="A757" s="1" t="n">
        <v>45962</v>
      </c>
      <c r="B757" t="inlineStr"/>
      <c r="C757" t="inlineStr">
        <is>
          <t>Move-In Fees</t>
        </is>
      </c>
      <c r="D757" t="n">
        <v>238.15</v>
      </c>
    </row>
    <row r="758">
      <c r="A758" s="1" t="n">
        <v>45962</v>
      </c>
      <c r="B758" t="inlineStr"/>
      <c r="C758" t="inlineStr">
        <is>
          <t>NET CASH FLOW</t>
        </is>
      </c>
      <c r="D758" t="n">
        <v>5719.130000000023</v>
      </c>
    </row>
    <row r="759">
      <c r="A759" s="1" t="n">
        <v>45962</v>
      </c>
      <c r="B759" t="inlineStr"/>
      <c r="C759" t="inlineStr">
        <is>
          <t>NET OPERATING INCOME (NOI)</t>
        </is>
      </c>
      <c r="D759" t="n">
        <v>68990.74000000002</v>
      </c>
    </row>
    <row r="760">
      <c r="A760" s="1" t="n">
        <v>45962</v>
      </c>
      <c r="B760" t="inlineStr"/>
      <c r="C760" t="inlineStr">
        <is>
          <t>Other Rent Adjustments</t>
        </is>
      </c>
      <c r="D760" t="n">
        <v>3268</v>
      </c>
    </row>
    <row r="761">
      <c r="A761" s="1" t="n">
        <v>45962</v>
      </c>
      <c r="B761" t="inlineStr"/>
      <c r="C761" t="inlineStr">
        <is>
          <t>Painting</t>
        </is>
      </c>
      <c r="D761" t="n">
        <v>3464.98</v>
      </c>
    </row>
    <row r="762">
      <c r="A762" s="1" t="n">
        <v>45962</v>
      </c>
      <c r="B762" t="inlineStr"/>
      <c r="C762" t="inlineStr">
        <is>
          <t>Payroll</t>
        </is>
      </c>
      <c r="D762" t="n">
        <v>2415</v>
      </c>
    </row>
    <row r="763">
      <c r="A763" s="1" t="n">
        <v>45962</v>
      </c>
      <c r="B763" t="inlineStr"/>
      <c r="C763" t="inlineStr">
        <is>
          <t>Pest Control</t>
        </is>
      </c>
      <c r="D763" t="n">
        <v>271.31</v>
      </c>
    </row>
    <row r="764">
      <c r="A764" s="1" t="n">
        <v>45962</v>
      </c>
      <c r="B764" t="inlineStr"/>
      <c r="C764" t="inlineStr">
        <is>
          <t>Principal</t>
        </is>
      </c>
      <c r="D764" t="n">
        <v>9068.860000000001</v>
      </c>
    </row>
    <row r="765">
      <c r="A765" s="1" t="n">
        <v>45962</v>
      </c>
      <c r="B765" t="inlineStr"/>
      <c r="C765" t="inlineStr">
        <is>
          <t>Property Insurance</t>
        </is>
      </c>
      <c r="D765" t="n">
        <v>8980</v>
      </c>
    </row>
    <row r="766">
      <c r="A766" s="1" t="n">
        <v>45962</v>
      </c>
      <c r="B766" t="inlineStr"/>
      <c r="C766" t="inlineStr">
        <is>
          <t>Real Estate Taxes</t>
        </is>
      </c>
      <c r="D766" t="n">
        <v>18823.25</v>
      </c>
    </row>
    <row r="767">
      <c r="A767" s="1" t="n">
        <v>45962</v>
      </c>
      <c r="B767" t="inlineStr"/>
      <c r="C767" t="inlineStr">
        <is>
          <t>Repairs - Other</t>
        </is>
      </c>
      <c r="D767" t="n">
        <v>-89.12</v>
      </c>
    </row>
    <row r="768">
      <c r="A768" s="1" t="n">
        <v>45962</v>
      </c>
      <c r="B768" t="inlineStr"/>
      <c r="C768" t="inlineStr">
        <is>
          <t>Supplies</t>
        </is>
      </c>
      <c r="D768" t="n">
        <v>4715.4</v>
      </c>
    </row>
    <row r="769">
      <c r="A769" s="1" t="n">
        <v>45962</v>
      </c>
      <c r="B769" t="inlineStr"/>
      <c r="C769" t="inlineStr">
        <is>
          <t>Total Capital Expenditures</t>
        </is>
      </c>
      <c r="D769" t="n">
        <v>13112.8</v>
      </c>
    </row>
    <row r="770">
      <c r="A770" s="1" t="n">
        <v>45962</v>
      </c>
      <c r="B770" t="inlineStr"/>
      <c r="C770" t="inlineStr">
        <is>
          <t>Total Debt Service</t>
        </is>
      </c>
      <c r="D770" t="n">
        <v>50158.81</v>
      </c>
    </row>
    <row r="771">
      <c r="A771" s="1" t="n">
        <v>45962</v>
      </c>
      <c r="B771" t="inlineStr"/>
      <c r="C771" t="inlineStr">
        <is>
          <t>Total Operating Expenses</t>
        </is>
      </c>
      <c r="D771" t="n">
        <v>89302.87</v>
      </c>
    </row>
    <row r="772">
      <c r="A772" s="1" t="n">
        <v>45962</v>
      </c>
      <c r="B772" t="inlineStr"/>
      <c r="C772" t="inlineStr">
        <is>
          <t>Total Other Income</t>
        </is>
      </c>
      <c r="D772" t="n">
        <v>7285.1</v>
      </c>
    </row>
    <row r="773">
      <c r="A773" s="1" t="n">
        <v>45962</v>
      </c>
      <c r="B773" t="inlineStr"/>
      <c r="C773" t="inlineStr">
        <is>
          <t>Utility Reimbursement</t>
        </is>
      </c>
      <c r="D773" t="n">
        <v>1550</v>
      </c>
    </row>
    <row r="774">
      <c r="A774" s="1" t="n">
        <v>45962</v>
      </c>
      <c r="B774" t="inlineStr"/>
      <c r="C774" t="inlineStr">
        <is>
          <t>Vacancy</t>
        </is>
      </c>
      <c r="D774" t="n">
        <v>-7000</v>
      </c>
    </row>
    <row r="775">
      <c r="A775" s="1" t="n">
        <v>45992</v>
      </c>
      <c r="B775" t="inlineStr"/>
      <c r="C775" t="inlineStr">
        <is>
          <t>Accounting</t>
        </is>
      </c>
      <c r="D775" t="n">
        <v>3470.12</v>
      </c>
    </row>
    <row r="776">
      <c r="A776" s="1" t="n">
        <v>45992</v>
      </c>
      <c r="B776" t="inlineStr"/>
      <c r="C776" t="inlineStr">
        <is>
          <t>Advertising</t>
        </is>
      </c>
      <c r="D776" t="n">
        <v>897.8</v>
      </c>
    </row>
    <row r="777">
      <c r="A777" s="1" t="n">
        <v>45992</v>
      </c>
      <c r="B777" t="inlineStr"/>
      <c r="C777" t="inlineStr">
        <is>
          <t>Appliances</t>
        </is>
      </c>
      <c r="D777" t="n">
        <v>244.01</v>
      </c>
    </row>
    <row r="778">
      <c r="A778" s="1" t="n">
        <v>45992</v>
      </c>
      <c r="B778" t="inlineStr"/>
      <c r="C778" t="inlineStr">
        <is>
          <t>Application Fees</t>
        </is>
      </c>
      <c r="D778" t="n">
        <v>450</v>
      </c>
    </row>
    <row r="779">
      <c r="A779" s="1" t="n">
        <v>45992</v>
      </c>
      <c r="B779" t="inlineStr"/>
      <c r="C779" t="inlineStr">
        <is>
          <t>CASH FLOW AFTER DEBT SERVICE</t>
        </is>
      </c>
      <c r="D779" t="n">
        <v>17682.86000000002</v>
      </c>
    </row>
    <row r="780">
      <c r="A780" s="1" t="n">
        <v>45992</v>
      </c>
      <c r="B780" t="inlineStr"/>
      <c r="C780" t="inlineStr">
        <is>
          <t>Cabinets</t>
        </is>
      </c>
      <c r="D780" t="n">
        <v>2519.15</v>
      </c>
    </row>
    <row r="781">
      <c r="A781" s="1" t="n">
        <v>45992</v>
      </c>
      <c r="B781" t="inlineStr"/>
      <c r="C781" t="inlineStr">
        <is>
          <t>Cap Rate</t>
        </is>
      </c>
      <c r="D781" t="n">
        <v>0.06784167000000001</v>
      </c>
    </row>
    <row r="782">
      <c r="A782" s="1" t="n">
        <v>45992</v>
      </c>
      <c r="B782" t="inlineStr"/>
      <c r="C782" t="inlineStr">
        <is>
          <t>Carpet Cleaning</t>
        </is>
      </c>
      <c r="D782" t="n">
        <v>733.5700000000001</v>
      </c>
    </row>
    <row r="783">
      <c r="A783" s="1" t="n">
        <v>45992</v>
      </c>
      <c r="B783" t="inlineStr"/>
      <c r="C783" t="inlineStr">
        <is>
          <t>Cash-on-Cash (Ann.)</t>
        </is>
      </c>
      <c r="D783" t="n">
        <v>0.02240836123348022</v>
      </c>
    </row>
    <row r="784">
      <c r="A784" s="1" t="n">
        <v>45992</v>
      </c>
      <c r="B784" t="inlineStr"/>
      <c r="C784" t="inlineStr">
        <is>
          <t>Cash-on-Cash (CFADS)</t>
        </is>
      </c>
      <c r="D784" t="n">
        <v>0.04673883700440533</v>
      </c>
    </row>
    <row r="785">
      <c r="A785" s="1" t="n">
        <v>45992</v>
      </c>
      <c r="B785" t="inlineStr"/>
      <c r="C785" t="inlineStr">
        <is>
          <t>Cleaning &amp; Maint</t>
        </is>
      </c>
      <c r="D785" t="n">
        <v>750</v>
      </c>
    </row>
    <row r="786">
      <c r="A786" s="1" t="n">
        <v>45992</v>
      </c>
      <c r="B786" t="inlineStr"/>
      <c r="C786" t="inlineStr">
        <is>
          <t>Common Area Cleaning</t>
        </is>
      </c>
      <c r="D786" t="n">
        <v>2700</v>
      </c>
    </row>
    <row r="787">
      <c r="A787" s="1" t="n">
        <v>45992</v>
      </c>
      <c r="B787" t="inlineStr"/>
      <c r="C787" t="inlineStr">
        <is>
          <t>DSCR</t>
        </is>
      </c>
      <c r="D787" t="n">
        <v>1.352537470486242</v>
      </c>
    </row>
    <row r="788">
      <c r="A788" s="1" t="n">
        <v>45992</v>
      </c>
      <c r="B788" t="inlineStr"/>
      <c r="C788" t="inlineStr">
        <is>
          <t>Deposit Forfeit</t>
        </is>
      </c>
      <c r="D788" t="n">
        <v>1652.64</v>
      </c>
    </row>
    <row r="789">
      <c r="A789" s="1" t="n">
        <v>45992</v>
      </c>
      <c r="B789" t="inlineStr"/>
      <c r="C789" t="inlineStr">
        <is>
          <t>EFFECTIVE GROSS INCOME (EGI)</t>
        </is>
      </c>
      <c r="D789" t="n">
        <v>157966.73</v>
      </c>
    </row>
    <row r="790">
      <c r="A790" s="1" t="n">
        <v>45992</v>
      </c>
      <c r="B790" t="inlineStr"/>
      <c r="C790" t="inlineStr">
        <is>
          <t>Effective Rental Income</t>
        </is>
      </c>
      <c r="D790" t="n">
        <v>147782.57</v>
      </c>
    </row>
    <row r="791">
      <c r="A791" s="1" t="n">
        <v>45992</v>
      </c>
      <c r="B791" t="inlineStr"/>
      <c r="C791" t="inlineStr">
        <is>
          <t>Electricity</t>
        </is>
      </c>
      <c r="D791" t="n">
        <v>2188.02</v>
      </c>
    </row>
    <row r="792">
      <c r="A792" s="1" t="n">
        <v>45992</v>
      </c>
      <c r="B792" t="inlineStr"/>
      <c r="C792" t="inlineStr">
        <is>
          <t>Expense Ratio</t>
        </is>
      </c>
      <c r="D792" t="n">
        <v>0.5705319088392853</v>
      </c>
    </row>
    <row r="793">
      <c r="A793" s="1" t="n">
        <v>45992</v>
      </c>
      <c r="B793" t="inlineStr"/>
      <c r="C793" t="inlineStr">
        <is>
          <t>Flooring</t>
        </is>
      </c>
      <c r="D793" t="n">
        <v>1300</v>
      </c>
    </row>
    <row r="794">
      <c r="A794" s="1" t="n">
        <v>45992</v>
      </c>
      <c r="B794" t="inlineStr"/>
      <c r="C794" t="inlineStr">
        <is>
          <t>Garbage &amp; Recycling</t>
        </is>
      </c>
      <c r="D794" t="n">
        <v>4213.86</v>
      </c>
    </row>
    <row r="795">
      <c r="A795" s="1" t="n">
        <v>45992</v>
      </c>
      <c r="B795" t="inlineStr"/>
      <c r="C795" t="inlineStr">
        <is>
          <t>Gas</t>
        </is>
      </c>
      <c r="D795" t="n">
        <v>3862.71</v>
      </c>
    </row>
    <row r="796">
      <c r="A796" s="1" t="n">
        <v>45992</v>
      </c>
      <c r="B796" t="inlineStr"/>
      <c r="C796" t="inlineStr">
        <is>
          <t>General Maint. Labor</t>
        </is>
      </c>
      <c r="D796" t="n">
        <v>7098.28</v>
      </c>
    </row>
    <row r="797">
      <c r="A797" s="1" t="n">
        <v>45992</v>
      </c>
      <c r="B797" t="inlineStr"/>
      <c r="C797" t="inlineStr">
        <is>
          <t>Gross Potential Rent</t>
        </is>
      </c>
      <c r="D797" t="n">
        <v>169200</v>
      </c>
    </row>
    <row r="798">
      <c r="A798" s="1" t="n">
        <v>45992</v>
      </c>
      <c r="B798" t="inlineStr"/>
      <c r="C798" t="inlineStr">
        <is>
          <t>HVAC</t>
        </is>
      </c>
      <c r="D798" t="n">
        <v>-37.42</v>
      </c>
    </row>
    <row r="799">
      <c r="A799" s="1" t="n">
        <v>45992</v>
      </c>
      <c r="B799" t="inlineStr"/>
      <c r="C799" t="inlineStr">
        <is>
          <t>Insurance Services</t>
        </is>
      </c>
      <c r="D799" t="n">
        <v>945</v>
      </c>
    </row>
    <row r="800">
      <c r="A800" s="1" t="n">
        <v>45992</v>
      </c>
      <c r="B800" t="inlineStr"/>
      <c r="C800" t="inlineStr">
        <is>
          <t>Interest</t>
        </is>
      </c>
      <c r="D800" t="n">
        <v>39723.32</v>
      </c>
    </row>
    <row r="801">
      <c r="A801" s="1" t="n">
        <v>45992</v>
      </c>
      <c r="B801" t="inlineStr"/>
      <c r="C801" t="inlineStr">
        <is>
          <t>Interest Income</t>
        </is>
      </c>
      <c r="D801" t="n">
        <v>208.72</v>
      </c>
    </row>
    <row r="802">
      <c r="A802" s="1" t="n">
        <v>45992</v>
      </c>
      <c r="B802" t="inlineStr"/>
      <c r="C802" t="inlineStr">
        <is>
          <t>Internet</t>
        </is>
      </c>
      <c r="D802" t="n">
        <v>1074.57</v>
      </c>
    </row>
    <row r="803">
      <c r="A803" s="1" t="n">
        <v>45992</v>
      </c>
      <c r="B803" t="inlineStr"/>
      <c r="C803" t="inlineStr">
        <is>
          <t>Internet Charges</t>
        </is>
      </c>
      <c r="D803" t="n">
        <v>2310</v>
      </c>
    </row>
    <row r="804">
      <c r="A804" s="1" t="n">
        <v>45992</v>
      </c>
      <c r="B804" t="inlineStr"/>
      <c r="C804" t="inlineStr">
        <is>
          <t>Landscaping</t>
        </is>
      </c>
      <c r="D804" t="n">
        <v>3251.55</v>
      </c>
    </row>
    <row r="805">
      <c r="A805" s="1" t="n">
        <v>45992</v>
      </c>
      <c r="B805" t="inlineStr"/>
      <c r="C805" t="inlineStr">
        <is>
          <t>Late Fees</t>
        </is>
      </c>
      <c r="D805" t="n">
        <v>2367.8</v>
      </c>
    </row>
    <row r="806">
      <c r="A806" s="1" t="n">
        <v>45992</v>
      </c>
      <c r="B806" t="inlineStr"/>
      <c r="C806" t="inlineStr">
        <is>
          <t>Legal</t>
        </is>
      </c>
      <c r="D806" t="n">
        <v>-611.7</v>
      </c>
    </row>
    <row r="807">
      <c r="A807" s="1" t="n">
        <v>45992</v>
      </c>
      <c r="B807" t="inlineStr"/>
      <c r="C807" t="inlineStr">
        <is>
          <t>Loss/Gain to Market</t>
        </is>
      </c>
      <c r="D807" t="n">
        <v>-6896.23</v>
      </c>
    </row>
    <row r="808">
      <c r="A808" s="1" t="n">
        <v>45992</v>
      </c>
      <c r="B808" t="inlineStr"/>
      <c r="C808" t="inlineStr">
        <is>
          <t>Management Fee (4%)</t>
        </is>
      </c>
      <c r="D808" t="n">
        <v>6375.09</v>
      </c>
    </row>
    <row r="809">
      <c r="A809" s="1" t="n">
        <v>45992</v>
      </c>
      <c r="B809" t="inlineStr"/>
      <c r="C809" t="inlineStr">
        <is>
          <t>Monthly Cash-on-Cash (Ann.)</t>
        </is>
      </c>
      <c r="D809" t="n">
        <v>0.05</v>
      </c>
    </row>
    <row r="810">
      <c r="A810" s="1" t="n">
        <v>45992</v>
      </c>
      <c r="B810" t="inlineStr"/>
      <c r="C810" t="inlineStr">
        <is>
          <t>Move-In Fees</t>
        </is>
      </c>
      <c r="D810" t="n">
        <v>2250</v>
      </c>
    </row>
    <row r="811">
      <c r="A811" s="1" t="n">
        <v>45992</v>
      </c>
      <c r="B811" t="inlineStr"/>
      <c r="C811" t="inlineStr">
        <is>
          <t>NET CASH FLOW</t>
        </is>
      </c>
      <c r="D811" t="n">
        <v>8477.830000000016</v>
      </c>
    </row>
    <row r="812">
      <c r="A812" s="1" t="n">
        <v>45992</v>
      </c>
      <c r="B812" t="inlineStr"/>
      <c r="C812" t="inlineStr">
        <is>
          <t>NET OPERATING INCOME (NOI)</t>
        </is>
      </c>
      <c r="D812" t="n">
        <v>67841.67000000001</v>
      </c>
    </row>
    <row r="813">
      <c r="A813" s="1" t="n">
        <v>45992</v>
      </c>
      <c r="B813" t="inlineStr"/>
      <c r="C813" t="inlineStr">
        <is>
          <t>Other Rent Adjustments</t>
        </is>
      </c>
      <c r="D813" t="n">
        <v>-7674.43</v>
      </c>
    </row>
    <row r="814">
      <c r="A814" s="1" t="n">
        <v>45992</v>
      </c>
      <c r="B814" t="inlineStr"/>
      <c r="C814" t="inlineStr">
        <is>
          <t>Payroll</t>
        </is>
      </c>
      <c r="D814" t="n">
        <v>2082.5</v>
      </c>
    </row>
    <row r="815">
      <c r="A815" s="1" t="n">
        <v>45992</v>
      </c>
      <c r="B815" t="inlineStr"/>
      <c r="C815" t="inlineStr">
        <is>
          <t>Plumbing</t>
        </is>
      </c>
      <c r="D815" t="n">
        <v>340</v>
      </c>
    </row>
    <row r="816">
      <c r="A816" s="1" t="n">
        <v>45992</v>
      </c>
      <c r="B816" t="inlineStr"/>
      <c r="C816" t="inlineStr">
        <is>
          <t>Principal</t>
        </is>
      </c>
      <c r="D816" t="n">
        <v>10435.49</v>
      </c>
    </row>
    <row r="817">
      <c r="A817" s="1" t="n">
        <v>45992</v>
      </c>
      <c r="B817" t="inlineStr"/>
      <c r="C817" t="inlineStr">
        <is>
          <t>Property Insurance</t>
        </is>
      </c>
      <c r="D817" t="n">
        <v>8233.469999999999</v>
      </c>
    </row>
    <row r="818">
      <c r="A818" s="1" t="n">
        <v>45992</v>
      </c>
      <c r="B818" t="inlineStr"/>
      <c r="C818" t="inlineStr">
        <is>
          <t>Real Estate Taxes</t>
        </is>
      </c>
      <c r="D818" t="n">
        <v>17980.67</v>
      </c>
    </row>
    <row r="819">
      <c r="A819" s="1" t="n">
        <v>45992</v>
      </c>
      <c r="B819" t="inlineStr"/>
      <c r="C819" t="inlineStr">
        <is>
          <t>Supplies</t>
        </is>
      </c>
      <c r="D819" t="n">
        <v>5141.87</v>
      </c>
    </row>
    <row r="820">
      <c r="A820" s="1" t="n">
        <v>45992</v>
      </c>
      <c r="B820" t="inlineStr"/>
      <c r="C820" t="inlineStr">
        <is>
          <t>Total Capital Expenditures</t>
        </is>
      </c>
      <c r="D820" t="n">
        <v>9205.029999999999</v>
      </c>
    </row>
    <row r="821">
      <c r="A821" s="1" t="n">
        <v>45992</v>
      </c>
      <c r="B821" t="inlineStr"/>
      <c r="C821" t="inlineStr">
        <is>
          <t>Total Debt Service</t>
        </is>
      </c>
      <c r="D821" t="n">
        <v>50158.81</v>
      </c>
    </row>
    <row r="822">
      <c r="A822" s="1" t="n">
        <v>45992</v>
      </c>
      <c r="B822" t="inlineStr"/>
      <c r="C822" t="inlineStr">
        <is>
          <t>Total Operating Expenses</t>
        </is>
      </c>
      <c r="D822" t="n">
        <v>90125.06</v>
      </c>
    </row>
    <row r="823">
      <c r="A823" s="1" t="n">
        <v>45992</v>
      </c>
      <c r="B823" t="inlineStr"/>
      <c r="C823" t="inlineStr">
        <is>
          <t>Total Other Income</t>
        </is>
      </c>
      <c r="D823" t="n">
        <v>10184.16</v>
      </c>
    </row>
    <row r="824">
      <c r="A824" s="1" t="n">
        <v>45992</v>
      </c>
      <c r="B824" t="inlineStr"/>
      <c r="C824" t="inlineStr">
        <is>
          <t>Travel</t>
        </is>
      </c>
      <c r="D824" t="n">
        <v>355</v>
      </c>
    </row>
    <row r="825">
      <c r="A825" s="1" t="n">
        <v>45992</v>
      </c>
      <c r="B825" t="inlineStr"/>
      <c r="C825" t="inlineStr">
        <is>
          <t>Vacancy</t>
        </is>
      </c>
      <c r="D825" t="n">
        <v>-6846.77</v>
      </c>
    </row>
    <row r="826">
      <c r="A826" s="1" t="n">
        <v>45992</v>
      </c>
      <c r="B826" t="inlineStr"/>
      <c r="C826" t="inlineStr">
        <is>
          <t>Water</t>
        </is>
      </c>
      <c r="D826" t="n">
        <v>18725.1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0" customWidth="1" min="4" max="4"/>
    <col width="14" customWidth="1" min="5" max="5"/>
    <col hidden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Model Navigation Guide</t>
        </is>
      </c>
      <c r="B1" s="3" t="n"/>
      <c r="C1" s="3" t="n"/>
      <c r="D1" s="3" t="n"/>
      <c r="E1" s="3" t="n"/>
    </row>
    <row r="2" ht="18" customHeight="1">
      <c r="A2" s="4" t="inlineStr">
        <is>
          <t>6800-6810 63rd Ave N, Brooklyn Park MN 55443  |  120 Units  |  Built 1967</t>
        </is>
      </c>
      <c r="B2" s="5" t="n"/>
      <c r="C2" s="5" t="n"/>
      <c r="D2" s="5" t="n"/>
      <c r="E2" s="5" t="n"/>
    </row>
    <row r="3" ht="20" customHeight="1">
      <c r="A3" s="6" t="n"/>
      <c r="B3" s="6" t="inlineStr">
        <is>
          <t>PROPERTY OVERVIEW</t>
        </is>
      </c>
      <c r="C3" s="6" t="n"/>
      <c r="D3" s="6" t="n"/>
      <c r="E3" s="6" t="n"/>
    </row>
    <row r="4" ht="20" customHeight="1">
      <c r="A4" s="7" t="inlineStr"/>
      <c r="B4" s="7" t="inlineStr">
        <is>
          <t>Detail</t>
        </is>
      </c>
      <c r="C4" s="7" t="inlineStr">
        <is>
          <t>Value</t>
        </is>
      </c>
      <c r="D4" s="7" t="inlineStr">
        <is>
          <t>Notes</t>
        </is>
      </c>
      <c r="E4" s="7" t="inlineStr"/>
    </row>
    <row r="5">
      <c r="A5" s="8" t="inlineStr"/>
      <c r="B5" s="9" t="inlineStr">
        <is>
          <t>Property Name</t>
        </is>
      </c>
      <c r="C5" s="10" t="inlineStr">
        <is>
          <t>The Groves Apartments</t>
        </is>
      </c>
      <c r="D5" s="8" t="inlineStr"/>
      <c r="E5" s="8" t="inlineStr"/>
    </row>
    <row r="6">
      <c r="A6" s="11" t="inlineStr"/>
      <c r="B6" s="12" t="inlineStr">
        <is>
          <t>Address</t>
        </is>
      </c>
      <c r="C6" s="12" t="inlineStr">
        <is>
          <t>6800-6810 63rd Ave N, Brooklyn Park MN 55443</t>
        </is>
      </c>
      <c r="D6" s="11" t="inlineStr"/>
      <c r="E6" s="11" t="inlineStr"/>
    </row>
    <row r="7">
      <c r="A7" s="8" t="inlineStr"/>
      <c r="B7" s="10" t="inlineStr">
        <is>
          <t>Total Units</t>
        </is>
      </c>
      <c r="C7" s="10" t="inlineStr">
        <is>
          <t>120</t>
        </is>
      </c>
      <c r="D7" s="8" t="inlineStr">
        <is>
          <t>60 × 1BR | 60 × 2BR</t>
        </is>
      </c>
      <c r="E7" s="8" t="inlineStr"/>
    </row>
    <row r="8">
      <c r="A8" s="11" t="inlineStr"/>
      <c r="B8" s="12" t="inlineStr">
        <is>
          <t>Rentable SF</t>
        </is>
      </c>
      <c r="C8" s="12" t="inlineStr">
        <is>
          <t>99,300 sq ft</t>
        </is>
      </c>
      <c r="D8" s="11" t="inlineStr"/>
      <c r="E8" s="11" t="inlineStr"/>
    </row>
    <row r="9">
      <c r="A9" s="8" t="inlineStr"/>
      <c r="B9" s="10" t="inlineStr">
        <is>
          <t>Year Built</t>
        </is>
      </c>
      <c r="C9" s="10" t="inlineStr">
        <is>
          <t>1967</t>
        </is>
      </c>
      <c r="D9" s="8" t="inlineStr"/>
      <c r="E9" s="8" t="inlineStr"/>
    </row>
    <row r="10">
      <c r="A10" s="11" t="inlineStr"/>
      <c r="B10" s="12" t="inlineStr">
        <is>
          <t>Structures</t>
        </is>
      </c>
      <c r="C10" s="12" t="inlineStr">
        <is>
          <t>5 residential 24-unit bldgs, 6 garage bldgs, 1 clubhouse</t>
        </is>
      </c>
      <c r="D10" s="11" t="inlineStr"/>
      <c r="E10" s="11" t="inlineStr"/>
    </row>
    <row r="11">
      <c r="A11" s="8" t="inlineStr"/>
      <c r="B11" s="10" t="inlineStr">
        <is>
          <t>Garages</t>
        </is>
      </c>
      <c r="C11" s="10" t="inlineStr">
        <is>
          <t>126 stalls</t>
        </is>
      </c>
      <c r="D11" s="8" t="inlineStr"/>
      <c r="E11" s="8" t="inlineStr"/>
    </row>
    <row r="12">
      <c r="A12" s="11" t="inlineStr"/>
      <c r="B12" s="12" t="inlineStr">
        <is>
          <t>Purchase Price</t>
        </is>
      </c>
      <c r="C12" s="12" t="inlineStr">
        <is>
          <t>$12,000,000</t>
        </is>
      </c>
      <c r="D12" s="11" t="inlineStr">
        <is>
          <t>2024-08-01</t>
        </is>
      </c>
      <c r="E12" s="11" t="inlineStr"/>
    </row>
    <row r="13">
      <c r="A13" s="8" t="inlineStr"/>
      <c r="B13" s="10" t="inlineStr">
        <is>
          <t>Total Equity</t>
        </is>
      </c>
      <c r="C13" s="10" t="inlineStr">
        <is>
          <t>$4,540,000</t>
        </is>
      </c>
      <c r="D13" s="8" t="inlineStr"/>
      <c r="E13" s="8" t="inlineStr"/>
    </row>
    <row r="14">
      <c r="A14" s="11" t="inlineStr"/>
      <c r="B14" s="12" t="inlineStr">
        <is>
          <t>Loan Amount</t>
        </is>
      </c>
      <c r="C14" s="12" t="inlineStr">
        <is>
          <t>$8,838,399</t>
        </is>
      </c>
      <c r="D14" s="11" t="inlineStr">
        <is>
          <t>5.44%  |  30-yr amort</t>
        </is>
      </c>
      <c r="E14" s="11" t="inlineStr"/>
    </row>
    <row r="15">
      <c r="A15" s="8" t="inlineStr"/>
      <c r="B15" s="10" t="inlineStr">
        <is>
          <t>Loan Balance</t>
        </is>
      </c>
      <c r="C15" s="10" t="inlineStr">
        <is>
          <t>$8,639,141</t>
        </is>
      </c>
      <c r="D15" s="8" t="inlineStr">
        <is>
          <t>Estimated current</t>
        </is>
      </c>
      <c r="E15" s="8" t="inlineStr"/>
    </row>
    <row r="16"/>
    <row r="17" ht="20" customHeight="1">
      <c r="A17" s="6" t="n"/>
      <c r="B17" s="6" t="inlineStr">
        <is>
          <t>SHEET NAVIGATION</t>
        </is>
      </c>
      <c r="C17" s="6" t="n"/>
      <c r="D17" s="6" t="n"/>
      <c r="E17" s="6" t="n"/>
    </row>
    <row r="18" ht="20" customHeight="1">
      <c r="A18" s="7" t="inlineStr"/>
      <c r="B18" s="7" t="inlineStr">
        <is>
          <t>Sheet Tab</t>
        </is>
      </c>
      <c r="C18" s="7" t="inlineStr">
        <is>
          <t>Description</t>
        </is>
      </c>
      <c r="D18" s="7" t="inlineStr">
        <is>
          <t>Update Frequency</t>
        </is>
      </c>
      <c r="E18" s="7" t="inlineStr"/>
    </row>
    <row r="19">
      <c r="A19" s="8" t="inlineStr"/>
      <c r="B19" s="9" t="inlineStr">
        <is>
          <t>How To Use</t>
        </is>
      </c>
      <c r="C19" s="10" t="inlineStr">
        <is>
          <t>This sheet — model overview and navigation guide</t>
        </is>
      </c>
      <c r="D19" s="8" t="inlineStr">
        <is>
          <t>As needed</t>
        </is>
      </c>
      <c r="E19" s="8" t="inlineStr"/>
    </row>
    <row r="20">
      <c r="A20" s="11" t="inlineStr"/>
      <c r="B20" s="13" t="inlineStr">
        <is>
          <t>Executive Summary</t>
        </is>
      </c>
      <c r="C20" s="12" t="inlineStr">
        <is>
          <t>One-page KPI dashboard: NOI, CFADS, DSCR, CoC, occupancy</t>
        </is>
      </c>
      <c r="D20" s="11" t="inlineStr">
        <is>
          <t>Monthly</t>
        </is>
      </c>
      <c r="E20" s="11" t="inlineStr"/>
    </row>
    <row r="21">
      <c r="A21" s="8" t="inlineStr"/>
      <c r="B21" s="9" t="inlineStr">
        <is>
          <t>Assumptions</t>
        </is>
      </c>
      <c r="C21" s="10" t="inlineStr">
        <is>
          <t>Property, loan, and unit-mix inputs — yellow editable cells</t>
        </is>
      </c>
      <c r="D21" s="8" t="inlineStr">
        <is>
          <t>As needed</t>
        </is>
      </c>
      <c r="E21" s="8" t="inlineStr"/>
    </row>
    <row r="22">
      <c r="A22" s="11" t="inlineStr"/>
      <c r="B22" s="13" t="inlineStr">
        <is>
          <t>Full P&amp;L</t>
        </is>
      </c>
      <c r="C22" s="12" t="inlineStr">
        <is>
          <t>17-month monthly actuals (Aug 2024 – Dec 2025)</t>
        </is>
      </c>
      <c r="D22" s="11" t="inlineStr">
        <is>
          <t>Monthly</t>
        </is>
      </c>
      <c r="E22" s="11" t="inlineStr"/>
    </row>
    <row r="23">
      <c r="A23" s="8" t="inlineStr"/>
      <c r="B23" s="9" t="inlineStr">
        <is>
          <t>T12_PL</t>
        </is>
      </c>
      <c r="C23" s="10" t="inlineStr">
        <is>
          <t>Trailing 12-month P&amp;L with T12 total column</t>
        </is>
      </c>
      <c r="D23" s="8" t="inlineStr">
        <is>
          <t>Monthly</t>
        </is>
      </c>
      <c r="E23" s="8" t="inlineStr"/>
    </row>
    <row r="24">
      <c r="A24" s="11" t="inlineStr"/>
      <c r="B24" s="13" t="inlineStr">
        <is>
          <t>Trailing Analysis</t>
        </is>
      </c>
      <c r="C24" s="12" t="inlineStr">
        <is>
          <t>Period-over-period variance: prior month / 3-mo / 12-mo</t>
        </is>
      </c>
      <c r="D24" s="11" t="inlineStr">
        <is>
          <t>Monthly</t>
        </is>
      </c>
      <c r="E24" s="11" t="inlineStr"/>
    </row>
    <row r="25">
      <c r="A25" s="8" t="inlineStr"/>
      <c r="B25" s="9" t="inlineStr">
        <is>
          <t>Distribution_Model</t>
        </is>
      </c>
      <c r="C25" s="10" t="inlineStr">
        <is>
          <t>TIC investor distribution waterfall and payout schedule</t>
        </is>
      </c>
      <c r="D25" s="8" t="inlineStr">
        <is>
          <t>Monthly</t>
        </is>
      </c>
      <c r="E25" s="8" t="inlineStr"/>
    </row>
    <row r="26">
      <c r="A26" s="11" t="inlineStr"/>
      <c r="B26" s="13" t="inlineStr">
        <is>
          <t>TIC Ownership</t>
        </is>
      </c>
      <c r="C26" s="12" t="inlineStr">
        <is>
          <t>Ownership percentages, equity, and return metrics by entity</t>
        </is>
      </c>
      <c r="D26" s="11" t="inlineStr">
        <is>
          <t>As needed</t>
        </is>
      </c>
      <c r="E26" s="11" t="inlineStr"/>
    </row>
    <row r="27">
      <c r="A27" s="8" t="inlineStr"/>
      <c r="B27" s="9" t="inlineStr">
        <is>
          <t>RR Summary</t>
        </is>
      </c>
      <c r="C27" s="10" t="inlineStr">
        <is>
          <t>Rent roll statistics: occupied units, avg rent, vacancy</t>
        </is>
      </c>
      <c r="D27" s="8" t="inlineStr">
        <is>
          <t>Monthly</t>
        </is>
      </c>
      <c r="E27" s="8" t="inlineStr"/>
    </row>
    <row r="28">
      <c r="A28" s="11" t="inlineStr"/>
      <c r="B28" s="13" t="inlineStr">
        <is>
          <t>RR Input</t>
        </is>
      </c>
      <c r="C28" s="12" t="inlineStr">
        <is>
          <t>Unit-by-unit rent roll detail — monthly snapshots</t>
        </is>
      </c>
      <c r="D28" s="11" t="inlineStr">
        <is>
          <t>Monthly</t>
        </is>
      </c>
      <c r="E28" s="11" t="inlineStr"/>
    </row>
    <row r="29">
      <c r="A29" s="8" t="inlineStr"/>
      <c r="B29" s="9" t="inlineStr">
        <is>
          <t>Unit Improvements</t>
        </is>
      </c>
      <c r="C29" s="10" t="inlineStr">
        <is>
          <t>Renovation scope, cost, and timeline by unit</t>
        </is>
      </c>
      <c r="D29" s="8" t="inlineStr">
        <is>
          <t>As needed</t>
        </is>
      </c>
      <c r="E29" s="8" t="inlineStr"/>
    </row>
    <row r="30">
      <c r="A30" s="11" t="inlineStr"/>
      <c r="B30" s="13" t="inlineStr">
        <is>
          <t>Escrow_Summary</t>
        </is>
      </c>
      <c r="C30" s="12" t="inlineStr">
        <is>
          <t>Tax, insurance, and reserve account balances over time</t>
        </is>
      </c>
      <c r="D30" s="11" t="inlineStr">
        <is>
          <t>Monthly</t>
        </is>
      </c>
      <c r="E30" s="11" t="inlineStr"/>
    </row>
    <row r="31">
      <c r="A31" s="8" t="inlineStr"/>
      <c r="B31" s="9" t="inlineStr">
        <is>
          <t>Escrow_Input</t>
        </is>
      </c>
      <c r="C31" s="10" t="inlineStr">
        <is>
          <t>Escrow transaction detail (deposits and draws)</t>
        </is>
      </c>
      <c r="D31" s="8" t="inlineStr">
        <is>
          <t>Monthly</t>
        </is>
      </c>
      <c r="E31" s="8" t="inlineStr"/>
    </row>
    <row r="32">
      <c r="A32" s="11" t="inlineStr"/>
      <c r="B32" s="13" t="inlineStr">
        <is>
          <t>CapEx Profile</t>
        </is>
      </c>
      <c r="C32" s="12" t="inlineStr">
        <is>
          <t>Capital expenditure profiling by building system and age</t>
        </is>
      </c>
      <c r="D32" s="11" t="inlineStr">
        <is>
          <t>Annual</t>
        </is>
      </c>
      <c r="E32" s="11" t="inlineStr"/>
    </row>
    <row r="33">
      <c r="A33" s="8" t="inlineStr"/>
      <c r="B33" s="9" t="inlineStr">
        <is>
          <t>Refi Stress Test</t>
        </is>
      </c>
      <c r="C33" s="10" t="inlineStr">
        <is>
          <t>Refinance scenarios at varying rates, LTVs, and values</t>
        </is>
      </c>
      <c r="D33" s="8" t="inlineStr">
        <is>
          <t>As needed</t>
        </is>
      </c>
      <c r="E33" s="8" t="inlineStr"/>
    </row>
    <row r="34">
      <c r="A34" s="11" t="inlineStr"/>
      <c r="B34" s="13" t="inlineStr">
        <is>
          <t>Rent Comps</t>
        </is>
      </c>
      <c r="C34" s="12" t="inlineStr">
        <is>
          <t>Market rent comparables from nearby properties</t>
        </is>
      </c>
      <c r="D34" s="11" t="inlineStr">
        <is>
          <t>Quarterly</t>
        </is>
      </c>
      <c r="E34" s="11" t="inlineStr"/>
    </row>
    <row r="35"/>
    <row r="36" ht="20" customHeight="1">
      <c r="A36" s="6" t="n"/>
      <c r="B36" s="6" t="inlineStr">
        <is>
          <t>HOW TO UPDATE DATA MONTHLY</t>
        </is>
      </c>
      <c r="C36" s="6" t="n"/>
      <c r="D36" s="6" t="n"/>
      <c r="E36" s="6" t="n"/>
    </row>
    <row r="37" ht="20" customHeight="1">
      <c r="A37" s="7" t="inlineStr">
        <is>
          <t>Step</t>
        </is>
      </c>
      <c r="B37" s="7" t="inlineStr">
        <is>
          <t>Action</t>
        </is>
      </c>
      <c r="C37" s="7" t="inlineStr">
        <is>
          <t>File</t>
        </is>
      </c>
      <c r="D37" s="7" t="inlineStr">
        <is>
          <t>Column Format</t>
        </is>
      </c>
      <c r="E37" s="7" t="inlineStr"/>
    </row>
    <row r="38">
      <c r="A38" s="11" t="inlineStr"/>
      <c r="B38" s="13" t="inlineStr">
        <is>
          <t>1</t>
        </is>
      </c>
      <c r="C38" s="12" t="inlineStr">
        <is>
          <t>Export P&amp;L from property management system</t>
        </is>
      </c>
      <c r="D38" s="11" t="inlineStr">
        <is>
          <t>data/pl_actuals.csv</t>
        </is>
      </c>
      <c r="E38" s="11" t="inlineStr">
        <is>
          <t>Month, GL, Account, Amount</t>
        </is>
      </c>
    </row>
    <row r="39">
      <c r="A39" s="8" t="inlineStr"/>
      <c r="B39" s="10" t="inlineStr">
        <is>
          <t>2</t>
        </is>
      </c>
      <c r="C39" s="10" t="inlineStr">
        <is>
          <t>Export end-of-month rent roll snapshot</t>
        </is>
      </c>
      <c r="D39" s="8" t="inlineStr">
        <is>
          <t>data/rent_roll.csv</t>
        </is>
      </c>
      <c r="E39" s="8" t="inlineStr">
        <is>
          <t>Month, Unit, FloorPlan, MarketRent, ActualRent, Occupied</t>
        </is>
      </c>
    </row>
    <row r="40">
      <c r="A40" s="11" t="inlineStr"/>
      <c r="B40" s="12" t="inlineStr">
        <is>
          <t>3</t>
        </is>
      </c>
      <c r="C40" s="12" t="inlineStr">
        <is>
          <t>Export escrow / reserve transactions</t>
        </is>
      </c>
      <c r="D40" s="11" t="inlineStr">
        <is>
          <t>data/escrow_activity.csv</t>
        </is>
      </c>
      <c r="E40" s="11" t="inlineStr">
        <is>
          <t>Month, Account, Type, Amount</t>
        </is>
      </c>
    </row>
    <row r="41">
      <c r="A41" s="8" t="inlineStr"/>
      <c r="B41" s="10" t="inlineStr">
        <is>
          <t>4</t>
        </is>
      </c>
      <c r="C41" s="10" t="inlineStr">
        <is>
          <t>Record any unit renovation activity</t>
        </is>
      </c>
      <c r="D41" s="8" t="inlineStr">
        <is>
          <t>data/unit_improvements.csv</t>
        </is>
      </c>
      <c r="E41" s="8" t="inlineStr">
        <is>
          <t>Unit, StartDate, EndDate, Scope, Cost</t>
        </is>
      </c>
    </row>
    <row r="42">
      <c r="A42" s="11" t="inlineStr"/>
      <c r="B42" s="12" t="inlineStr">
        <is>
          <t>5</t>
        </is>
      </c>
      <c r="C42" s="12" t="inlineStr">
        <is>
          <t>Update CapEx profile if systems assessed</t>
        </is>
      </c>
      <c r="D42" s="11" t="inlineStr">
        <is>
          <t>data/capex_profile.csv</t>
        </is>
      </c>
      <c r="E42" s="11" t="inlineStr">
        <is>
          <t>System, Age, Condition, EstReplCost, Priority</t>
        </is>
      </c>
    </row>
    <row r="43">
      <c r="A43" s="8" t="inlineStr"/>
      <c r="B43" s="10" t="inlineStr">
        <is>
          <t>6</t>
        </is>
      </c>
      <c r="C43" s="10" t="inlineStr">
        <is>
          <t>Run build:  python src/build.py</t>
        </is>
      </c>
      <c r="D43" s="8" t="inlineStr">
        <is>
          <t>Regenerates all sheets</t>
        </is>
      </c>
      <c r="E43" s="8" t="inlineStr">
        <is>
          <t>output/Groves_Investor_Model.xlsx</t>
        </is>
      </c>
    </row>
    <row r="44">
      <c r="A44" s="11" t="inlineStr"/>
      <c r="B44" s="12" t="inlineStr">
        <is>
          <t>7</t>
        </is>
      </c>
      <c r="C44" s="12" t="inlineStr">
        <is>
          <t>Validate:  python tests/test_model.py &lt;path&gt;</t>
        </is>
      </c>
      <c r="D44" s="11" t="inlineStr">
        <is>
          <t>Checks formulas</t>
        </is>
      </c>
      <c r="E44" s="11" t="inlineStr">
        <is>
          <t>Should report 0 issues</t>
        </is>
      </c>
    </row>
    <row r="45"/>
    <row r="46">
      <c r="A46" s="11" t="inlineStr"/>
      <c r="B46" s="13" t="inlineStr">
        <is>
          <t>CSV RULES</t>
        </is>
      </c>
      <c r="C46" s="12" t="inlineStr"/>
      <c r="D46" s="11" t="inlineStr"/>
      <c r="E46" s="11" t="inlineStr"/>
    </row>
    <row r="47">
      <c r="A47" s="8" t="inlineStr"/>
      <c r="B47" s="10" t="inlineStr">
        <is>
          <t>Date format</t>
        </is>
      </c>
      <c r="C47" s="10" t="inlineStr">
        <is>
          <t>YYYY-MM-DD  (e.g. 2025-01-01)</t>
        </is>
      </c>
      <c r="D47" s="8" t="inlineStr"/>
      <c r="E47" s="8" t="inlineStr"/>
    </row>
    <row r="48">
      <c r="A48" s="11" t="inlineStr"/>
      <c r="B48" s="12" t="inlineStr">
        <is>
          <t>Header row</t>
        </is>
      </c>
      <c r="C48" s="12" t="inlineStr">
        <is>
          <t>Row 1 must be the header — no blank rows above</t>
        </is>
      </c>
      <c r="D48" s="11" t="inlineStr"/>
      <c r="E48" s="11" t="inlineStr"/>
    </row>
    <row r="49">
      <c r="A49" s="8" t="inlineStr"/>
      <c r="B49" s="10" t="inlineStr">
        <is>
          <t>Amounts</t>
        </is>
      </c>
      <c r="C49" s="10" t="inlineStr">
        <is>
          <t>Positive = income   |   Negative = expense / adjustment / vacancy</t>
        </is>
      </c>
      <c r="D49" s="8" t="inlineStr"/>
      <c r="E49" s="8" t="inlineStr"/>
    </row>
    <row r="50">
      <c r="A50" s="11" t="inlineStr"/>
      <c r="B50" s="12" t="inlineStr">
        <is>
          <t>Account names</t>
        </is>
      </c>
      <c r="C50" s="12" t="inlineStr">
        <is>
          <t>Must match Chart of Accounts exactly (case-sensitive)</t>
        </is>
      </c>
      <c r="D50" s="11" t="inlineStr"/>
      <c r="E50" s="11" t="inlineStr"/>
    </row>
    <row r="51"/>
    <row r="52" ht="20" customHeight="1">
      <c r="A52" s="6" t="n"/>
      <c r="B52" s="6" t="inlineStr">
        <is>
          <t>KEY METRICS REFERENCE</t>
        </is>
      </c>
      <c r="C52" s="6" t="n"/>
      <c r="D52" s="6" t="n"/>
      <c r="E52" s="6" t="n"/>
    </row>
    <row r="53" ht="20" customHeight="1">
      <c r="A53" s="7" t="inlineStr"/>
      <c r="B53" s="7" t="inlineStr">
        <is>
          <t>Abbreviation</t>
        </is>
      </c>
      <c r="C53" s="7" t="inlineStr">
        <is>
          <t>Full Name</t>
        </is>
      </c>
      <c r="D53" s="7" t="inlineStr">
        <is>
          <t>Description</t>
        </is>
      </c>
      <c r="E53" s="7" t="inlineStr"/>
    </row>
    <row r="54">
      <c r="A54" s="11" t="inlineStr"/>
      <c r="B54" s="12" t="inlineStr">
        <is>
          <t>NOI</t>
        </is>
      </c>
      <c r="C54" s="12" t="inlineStr">
        <is>
          <t>Net Operating Income</t>
        </is>
      </c>
      <c r="D54" s="11" t="inlineStr">
        <is>
          <t>EGI minus all operating expenses</t>
        </is>
      </c>
      <c r="E54" s="11" t="inlineStr"/>
    </row>
    <row r="55">
      <c r="A55" s="8" t="inlineStr"/>
      <c r="B55" s="10" t="inlineStr">
        <is>
          <t>EGI</t>
        </is>
      </c>
      <c r="C55" s="10" t="inlineStr">
        <is>
          <t>Effective Gross Income</t>
        </is>
      </c>
      <c r="D55" s="8" t="inlineStr">
        <is>
          <t>Gross Potential Rent + Other Income + adjustments</t>
        </is>
      </c>
      <c r="E55" s="8" t="inlineStr"/>
    </row>
    <row r="56">
      <c r="A56" s="11" t="inlineStr"/>
      <c r="B56" s="12" t="inlineStr">
        <is>
          <t>ERI</t>
        </is>
      </c>
      <c r="C56" s="12" t="inlineStr">
        <is>
          <t>Effective Rental Income</t>
        </is>
      </c>
      <c r="D56" s="11" t="inlineStr">
        <is>
          <t>GPR adjusted for vacancy, delinquency, concessions</t>
        </is>
      </c>
      <c r="E56" s="11" t="inlineStr"/>
    </row>
    <row r="57">
      <c r="A57" s="8" t="inlineStr"/>
      <c r="B57" s="10" t="inlineStr">
        <is>
          <t>DSCR</t>
        </is>
      </c>
      <c r="C57" s="10" t="inlineStr">
        <is>
          <t>Debt Service Coverage Ratio</t>
        </is>
      </c>
      <c r="D57" s="8" t="inlineStr">
        <is>
          <t>NOI ÷ Total Debt Service  (target ≥ 1.25×)</t>
        </is>
      </c>
      <c r="E57" s="8" t="inlineStr"/>
    </row>
    <row r="58">
      <c r="A58" s="11" t="inlineStr"/>
      <c r="B58" s="12" t="inlineStr">
        <is>
          <t>Cap Rate</t>
        </is>
      </c>
      <c r="C58" s="12" t="inlineStr">
        <is>
          <t>Capitalization Rate</t>
        </is>
      </c>
      <c r="D58" s="11" t="inlineStr">
        <is>
          <t>Annualized NOI ÷ Purchase Price</t>
        </is>
      </c>
      <c r="E58" s="11" t="inlineStr"/>
    </row>
    <row r="59">
      <c r="A59" s="8" t="inlineStr"/>
      <c r="B59" s="10" t="inlineStr">
        <is>
          <t>CFADS</t>
        </is>
      </c>
      <c r="C59" s="10" t="inlineStr">
        <is>
          <t>Cash Flow After Debt Service</t>
        </is>
      </c>
      <c r="D59" s="8" t="inlineStr">
        <is>
          <t>NOI minus all debt service payments</t>
        </is>
      </c>
      <c r="E59" s="8" t="inlineStr"/>
    </row>
    <row r="60">
      <c r="A60" s="11" t="inlineStr"/>
      <c r="B60" s="12" t="inlineStr">
        <is>
          <t>NCF</t>
        </is>
      </c>
      <c r="C60" s="12" t="inlineStr">
        <is>
          <t>Net Cash Flow</t>
        </is>
      </c>
      <c r="D60" s="11" t="inlineStr">
        <is>
          <t>CFADS minus capital expenditures</t>
        </is>
      </c>
      <c r="E60" s="11" t="inlineStr"/>
    </row>
    <row r="61">
      <c r="A61" s="8" t="inlineStr"/>
      <c r="B61" s="10" t="inlineStr">
        <is>
          <t>CoC</t>
        </is>
      </c>
      <c r="C61" s="10" t="inlineStr">
        <is>
          <t>Cash-on-Cash Return</t>
        </is>
      </c>
      <c r="D61" s="8" t="inlineStr">
        <is>
          <t>Annualized NCF ÷ Total Equity Invested</t>
        </is>
      </c>
      <c r="E61" s="8" t="inlineStr"/>
    </row>
    <row r="62">
      <c r="A62" s="11" t="inlineStr"/>
      <c r="B62" s="12" t="inlineStr">
        <is>
          <t>GPR</t>
        </is>
      </c>
      <c r="C62" s="12" t="inlineStr">
        <is>
          <t>Gross Potential Rent</t>
        </is>
      </c>
      <c r="D62" s="11" t="inlineStr">
        <is>
          <t>Max rent if all units occupied at market rate</t>
        </is>
      </c>
      <c r="E62" s="11" t="inlineStr"/>
    </row>
    <row r="63">
      <c r="A63" s="8" t="inlineStr"/>
      <c r="B63" s="10" t="inlineStr">
        <is>
          <t>T12 / TTM</t>
        </is>
      </c>
      <c r="C63" s="10" t="inlineStr">
        <is>
          <t>Trailing Twelve Months</t>
        </is>
      </c>
      <c r="D63" s="8" t="inlineStr">
        <is>
          <t>Sum of the most recent 12 calendar months</t>
        </is>
      </c>
      <c r="E63" s="8" t="inlineStr"/>
    </row>
    <row r="64">
      <c r="A64" s="11" t="inlineStr"/>
      <c r="B64" s="12" t="inlineStr">
        <is>
          <t>TIC</t>
        </is>
      </c>
      <c r="C64" s="12" t="inlineStr">
        <is>
          <t>Tenants in Common</t>
        </is>
      </c>
      <c r="D64" s="11" t="inlineStr">
        <is>
          <t>Co-ownership structure used for this property</t>
        </is>
      </c>
      <c r="E64" s="11" t="inlineStr"/>
    </row>
    <row r="65">
      <c r="A65" s="8" t="inlineStr"/>
      <c r="B65" s="10" t="inlineStr">
        <is>
          <t>CFADS CoC</t>
        </is>
      </c>
      <c r="C65" s="10" t="inlineStr">
        <is>
          <t>CFADS Cash-on-Cash</t>
        </is>
      </c>
      <c r="D65" s="8" t="inlineStr">
        <is>
          <t>Annualized CFADS ÷ Total Equity (pre-capex CoC)</t>
        </is>
      </c>
      <c r="E65" s="8" t="inlineStr"/>
    </row>
    <row r="66"/>
    <row r="67" ht="20" customHeight="1">
      <c r="A67" s="6" t="n"/>
      <c r="B67" s="6" t="inlineStr">
        <is>
          <t>CHART OF ACCOUNTS — LINE ITEMS</t>
        </is>
      </c>
      <c r="C67" s="6" t="n"/>
      <c r="D67" s="6" t="n"/>
      <c r="E67" s="6" t="n"/>
    </row>
    <row r="68" ht="20" customHeight="1">
      <c r="A68" s="7" t="inlineStr">
        <is>
          <t>GL Code</t>
        </is>
      </c>
      <c r="B68" s="7" t="inlineStr">
        <is>
          <t>Account Name</t>
        </is>
      </c>
      <c r="C68" s="7" t="inlineStr">
        <is>
          <t>Category</t>
        </is>
      </c>
      <c r="D68" s="7" t="inlineStr"/>
      <c r="E68" s="7" t="inlineStr"/>
    </row>
    <row r="69">
      <c r="A69" s="8" t="inlineStr">
        <is>
          <t>3090</t>
        </is>
      </c>
      <c r="B69" s="10" t="inlineStr">
        <is>
          <t>Gross Potential Rent</t>
        </is>
      </c>
      <c r="C69" s="10" t="inlineStr">
        <is>
          <t>REVENUE</t>
        </is>
      </c>
      <c r="D69" s="8" t="inlineStr"/>
      <c r="E69" s="8" t="inlineStr"/>
    </row>
    <row r="70">
      <c r="A70" s="11" t="inlineStr">
        <is>
          <t>4100</t>
        </is>
      </c>
      <c r="B70" s="12" t="inlineStr">
        <is>
          <t>Loss/Gain to Market</t>
        </is>
      </c>
      <c r="C70" s="12" t="inlineStr">
        <is>
          <t>REVENUE</t>
        </is>
      </c>
      <c r="D70" s="11" t="inlineStr"/>
      <c r="E70" s="11" t="inlineStr"/>
    </row>
    <row r="71">
      <c r="A71" s="8" t="inlineStr">
        <is>
          <t>4100</t>
        </is>
      </c>
      <c r="B71" s="10" t="inlineStr">
        <is>
          <t>Delinquency</t>
        </is>
      </c>
      <c r="C71" s="10" t="inlineStr">
        <is>
          <t>REVENUE</t>
        </is>
      </c>
      <c r="D71" s="8" t="inlineStr"/>
      <c r="E71" s="8" t="inlineStr"/>
    </row>
    <row r="72">
      <c r="A72" s="11" t="inlineStr">
        <is>
          <t>4100</t>
        </is>
      </c>
      <c r="B72" s="12" t="inlineStr">
        <is>
          <t>Vacancy</t>
        </is>
      </c>
      <c r="C72" s="12" t="inlineStr">
        <is>
          <t>REVENUE</t>
        </is>
      </c>
      <c r="D72" s="11" t="inlineStr"/>
      <c r="E72" s="11" t="inlineStr"/>
    </row>
    <row r="73">
      <c r="A73" s="8" t="inlineStr"/>
      <c r="B73" s="10" t="inlineStr">
        <is>
          <t>Concessions</t>
        </is>
      </c>
      <c r="C73" s="10" t="inlineStr">
        <is>
          <t>REVENUE</t>
        </is>
      </c>
      <c r="D73" s="8" t="inlineStr"/>
      <c r="E73" s="8" t="inlineStr"/>
    </row>
    <row r="74">
      <c r="A74" s="11" t="inlineStr">
        <is>
          <t>4700</t>
        </is>
      </c>
      <c r="B74" s="12" t="inlineStr">
        <is>
          <t>Other Rent Adjustments</t>
        </is>
      </c>
      <c r="C74" s="12" t="inlineStr">
        <is>
          <t>REVENUE</t>
        </is>
      </c>
      <c r="D74" s="11" t="inlineStr"/>
      <c r="E74" s="11" t="inlineStr"/>
    </row>
    <row r="75">
      <c r="A75" s="8" t="inlineStr">
        <is>
          <t>4460</t>
        </is>
      </c>
      <c r="B75" s="10" t="inlineStr">
        <is>
          <t>Late Fees</t>
        </is>
      </c>
      <c r="C75" s="10" t="inlineStr">
        <is>
          <t>OTHER INCOME</t>
        </is>
      </c>
      <c r="D75" s="8" t="inlineStr"/>
      <c r="E75" s="8" t="inlineStr"/>
    </row>
    <row r="76">
      <c r="A76" s="11" t="inlineStr">
        <is>
          <t>4490</t>
        </is>
      </c>
      <c r="B76" s="12" t="inlineStr">
        <is>
          <t>Move-In Fees</t>
        </is>
      </c>
      <c r="C76" s="12" t="inlineStr">
        <is>
          <t>OTHER INCOME</t>
        </is>
      </c>
      <c r="D76" s="11" t="inlineStr"/>
      <c r="E76" s="11" t="inlineStr"/>
    </row>
    <row r="77">
      <c r="A77" s="8" t="inlineStr">
        <is>
          <t>4440</t>
        </is>
      </c>
      <c r="B77" s="10" t="inlineStr">
        <is>
          <t>Application Fees</t>
        </is>
      </c>
      <c r="C77" s="10" t="inlineStr">
        <is>
          <t>OTHER INCOME</t>
        </is>
      </c>
      <c r="D77" s="8" t="inlineStr"/>
      <c r="E77" s="8" t="inlineStr"/>
    </row>
    <row r="78">
      <c r="A78" s="11" t="inlineStr">
        <is>
          <t>4415</t>
        </is>
      </c>
      <c r="B78" s="12" t="inlineStr">
        <is>
          <t>Internet Charges</t>
        </is>
      </c>
      <c r="C78" s="12" t="inlineStr">
        <is>
          <t>OTHER INCOME</t>
        </is>
      </c>
      <c r="D78" s="11" t="inlineStr"/>
      <c r="E78" s="11" t="inlineStr"/>
    </row>
    <row r="79">
      <c r="A79" s="8" t="inlineStr">
        <is>
          <t>4450</t>
        </is>
      </c>
      <c r="B79" s="10" t="inlineStr">
        <is>
          <t>Insurance Services</t>
        </is>
      </c>
      <c r="C79" s="10" t="inlineStr">
        <is>
          <t>OTHER INCOME</t>
        </is>
      </c>
      <c r="D79" s="8" t="inlineStr"/>
      <c r="E79" s="8" t="inlineStr"/>
    </row>
    <row r="80">
      <c r="A80" s="11" t="inlineStr"/>
      <c r="B80" s="12" t="inlineStr">
        <is>
          <t>Interest Income</t>
        </is>
      </c>
      <c r="C80" s="12" t="inlineStr">
        <is>
          <t>OTHER INCOME</t>
        </is>
      </c>
      <c r="D80" s="11" t="inlineStr"/>
      <c r="E80" s="11" t="inlineStr"/>
    </row>
    <row r="81">
      <c r="A81" s="8" t="inlineStr">
        <is>
          <t>4730</t>
        </is>
      </c>
      <c r="B81" s="10" t="inlineStr">
        <is>
          <t>Utility Reimbursement</t>
        </is>
      </c>
      <c r="C81" s="10" t="inlineStr">
        <is>
          <t>OTHER INCOME</t>
        </is>
      </c>
      <c r="D81" s="8" t="inlineStr"/>
      <c r="E81" s="8" t="inlineStr"/>
    </row>
    <row r="82">
      <c r="A82" s="11" t="inlineStr"/>
      <c r="B82" s="12" t="inlineStr">
        <is>
          <t>Deposit Forfeit</t>
        </is>
      </c>
      <c r="C82" s="12" t="inlineStr">
        <is>
          <t>OTHER INCOME</t>
        </is>
      </c>
      <c r="D82" s="11" t="inlineStr"/>
      <c r="E82" s="11" t="inlineStr"/>
    </row>
    <row r="83">
      <c r="A83" s="8" t="inlineStr">
        <is>
          <t>4410</t>
        </is>
      </c>
      <c r="B83" s="10" t="inlineStr">
        <is>
          <t>NSF Fees</t>
        </is>
      </c>
      <c r="C83" s="10" t="inlineStr">
        <is>
          <t>OTHER INCOME</t>
        </is>
      </c>
      <c r="D83" s="8" t="inlineStr"/>
      <c r="E83" s="8" t="inlineStr"/>
    </row>
    <row r="84">
      <c r="A84" s="11" t="inlineStr">
        <is>
          <t>6161</t>
        </is>
      </c>
      <c r="B84" s="12" t="inlineStr">
        <is>
          <t>Real Estate Taxes</t>
        </is>
      </c>
      <c r="C84" s="12" t="inlineStr">
        <is>
          <t>OPERATING EXPENSES</t>
        </is>
      </c>
      <c r="D84" s="11" t="inlineStr"/>
      <c r="E84" s="11" t="inlineStr"/>
    </row>
    <row r="85">
      <c r="A85" s="8" t="inlineStr">
        <is>
          <t>6091</t>
        </is>
      </c>
      <c r="B85" s="10" t="inlineStr">
        <is>
          <t>Property Insurance</t>
        </is>
      </c>
      <c r="C85" s="10" t="inlineStr">
        <is>
          <t>OPERATING EXPENSES</t>
        </is>
      </c>
      <c r="D85" s="8" t="inlineStr"/>
      <c r="E85" s="8" t="inlineStr"/>
    </row>
    <row r="86">
      <c r="A86" s="11" t="inlineStr">
        <is>
          <t>6002</t>
        </is>
      </c>
      <c r="B86" s="12" t="inlineStr">
        <is>
          <t>Payroll</t>
        </is>
      </c>
      <c r="C86" s="12" t="inlineStr">
        <is>
          <t>OPERATING EXPENSES</t>
        </is>
      </c>
      <c r="D86" s="11" t="inlineStr"/>
      <c r="E86" s="11" t="inlineStr"/>
    </row>
    <row r="87">
      <c r="A87" s="8" t="inlineStr">
        <is>
          <t>6003</t>
        </is>
      </c>
      <c r="B87" s="10" t="inlineStr">
        <is>
          <t>Advertising</t>
        </is>
      </c>
      <c r="C87" s="10" t="inlineStr">
        <is>
          <t>OPERATING EXPENSES</t>
        </is>
      </c>
      <c r="D87" s="8" t="inlineStr"/>
      <c r="E87" s="8" t="inlineStr"/>
    </row>
    <row r="88">
      <c r="A88" s="11" t="inlineStr">
        <is>
          <t>6171</t>
        </is>
      </c>
      <c r="B88" s="12" t="inlineStr">
        <is>
          <t>Electricity</t>
        </is>
      </c>
      <c r="C88" s="12" t="inlineStr">
        <is>
          <t>OPERATING EXPENSES</t>
        </is>
      </c>
      <c r="D88" s="11" t="inlineStr"/>
      <c r="E88" s="11" t="inlineStr"/>
    </row>
    <row r="89">
      <c r="A89" s="8" t="inlineStr">
        <is>
          <t>6172</t>
        </is>
      </c>
      <c r="B89" s="10" t="inlineStr">
        <is>
          <t>Gas</t>
        </is>
      </c>
      <c r="C89" s="10" t="inlineStr">
        <is>
          <t>OPERATING EXPENSES</t>
        </is>
      </c>
      <c r="D89" s="8" t="inlineStr"/>
      <c r="E89" s="8" t="inlineStr"/>
    </row>
    <row r="90">
      <c r="A90" s="11" t="inlineStr">
        <is>
          <t>6173</t>
        </is>
      </c>
      <c r="B90" s="12" t="inlineStr">
        <is>
          <t>Water</t>
        </is>
      </c>
      <c r="C90" s="12" t="inlineStr">
        <is>
          <t>OPERATING EXPENSES</t>
        </is>
      </c>
      <c r="D90" s="11" t="inlineStr"/>
      <c r="E90" s="11" t="inlineStr"/>
    </row>
    <row r="91">
      <c r="A91" s="8" t="inlineStr">
        <is>
          <t>6175</t>
        </is>
      </c>
      <c r="B91" s="10" t="inlineStr">
        <is>
          <t>Garbage &amp; Recycling</t>
        </is>
      </c>
      <c r="C91" s="10" t="inlineStr">
        <is>
          <t>OPERATING EXPENSES</t>
        </is>
      </c>
      <c r="D91" s="8" t="inlineStr"/>
      <c r="E91" s="8" t="inlineStr"/>
    </row>
    <row r="92">
      <c r="A92" s="11" t="inlineStr">
        <is>
          <t>6176</t>
        </is>
      </c>
      <c r="B92" s="12" t="inlineStr">
        <is>
          <t>Internet</t>
        </is>
      </c>
      <c r="C92" s="12" t="inlineStr">
        <is>
          <t>OPERATING EXPENSES</t>
        </is>
      </c>
      <c r="D92" s="11" t="inlineStr"/>
      <c r="E92" s="11" t="inlineStr"/>
    </row>
    <row r="93">
      <c r="A93" s="8" t="inlineStr">
        <is>
          <t>6111</t>
        </is>
      </c>
      <c r="B93" s="10" t="inlineStr">
        <is>
          <t>Management Fee (4%)</t>
        </is>
      </c>
      <c r="C93" s="10" t="inlineStr">
        <is>
          <t>OPERATING EXPENSES</t>
        </is>
      </c>
      <c r="D93" s="8" t="inlineStr"/>
      <c r="E93" s="8" t="inlineStr"/>
    </row>
    <row r="94">
      <c r="A94" s="11" t="inlineStr">
        <is>
          <t>6073</t>
        </is>
      </c>
      <c r="B94" s="12" t="inlineStr">
        <is>
          <t>General Maint. Labor</t>
        </is>
      </c>
      <c r="C94" s="12" t="inlineStr">
        <is>
          <t>OPERATING EXPENSES</t>
        </is>
      </c>
      <c r="D94" s="11" t="inlineStr"/>
      <c r="E94" s="11" t="inlineStr"/>
    </row>
    <row r="95">
      <c r="A95" s="8" t="inlineStr">
        <is>
          <t>6074</t>
        </is>
      </c>
      <c r="B95" s="10" t="inlineStr">
        <is>
          <t>Landscaping</t>
        </is>
      </c>
      <c r="C95" s="10" t="inlineStr">
        <is>
          <t>OPERATING EXPENSES</t>
        </is>
      </c>
      <c r="D95" s="8" t="inlineStr"/>
      <c r="E95" s="8" t="inlineStr"/>
    </row>
    <row r="96">
      <c r="A96" s="11" t="inlineStr">
        <is>
          <t>6076</t>
        </is>
      </c>
      <c r="B96" s="12" t="inlineStr">
        <is>
          <t>Cleaning &amp; Maint</t>
        </is>
      </c>
      <c r="C96" s="12" t="inlineStr">
        <is>
          <t>OPERATING EXPENSES</t>
        </is>
      </c>
      <c r="D96" s="11" t="inlineStr"/>
      <c r="E96" s="11" t="inlineStr"/>
    </row>
    <row r="97">
      <c r="A97" s="8" t="inlineStr">
        <is>
          <t>6077</t>
        </is>
      </c>
      <c r="B97" s="10" t="inlineStr">
        <is>
          <t>Common Area Cleaning</t>
        </is>
      </c>
      <c r="C97" s="10" t="inlineStr">
        <is>
          <t>OPERATING EXPENSES</t>
        </is>
      </c>
      <c r="D97" s="8" t="inlineStr"/>
      <c r="E97" s="8" t="inlineStr"/>
    </row>
    <row r="98">
      <c r="A98" s="11" t="inlineStr">
        <is>
          <t>6078</t>
        </is>
      </c>
      <c r="B98" s="12" t="inlineStr">
        <is>
          <t>Pest Control</t>
        </is>
      </c>
      <c r="C98" s="12" t="inlineStr">
        <is>
          <t>OPERATING EXPENSES</t>
        </is>
      </c>
      <c r="D98" s="11" t="inlineStr"/>
      <c r="E98" s="11" t="inlineStr"/>
    </row>
    <row r="99">
      <c r="A99" s="8" t="inlineStr">
        <is>
          <t>6071</t>
        </is>
      </c>
      <c r="B99" s="10" t="inlineStr">
        <is>
          <t>Carpet Cleaning</t>
        </is>
      </c>
      <c r="C99" s="10" t="inlineStr">
        <is>
          <t>OPERATING EXPENSES</t>
        </is>
      </c>
      <c r="D99" s="8" t="inlineStr"/>
      <c r="E99" s="8" t="inlineStr"/>
    </row>
    <row r="100">
      <c r="A100" s="11" t="inlineStr">
        <is>
          <t>6072</t>
        </is>
      </c>
      <c r="B100" s="12" t="inlineStr">
        <is>
          <t>Janitorial</t>
        </is>
      </c>
      <c r="C100" s="12" t="inlineStr">
        <is>
          <t>OPERATING EXPENSES</t>
        </is>
      </c>
      <c r="D100" s="11" t="inlineStr"/>
      <c r="E100" s="11" t="inlineStr"/>
    </row>
    <row r="101">
      <c r="A101" s="8" t="inlineStr">
        <is>
          <t>6141</t>
        </is>
      </c>
      <c r="B101" s="10" t="inlineStr">
        <is>
          <t>Painting</t>
        </is>
      </c>
      <c r="C101" s="10" t="inlineStr">
        <is>
          <t>OPERATING EXPENSES</t>
        </is>
      </c>
      <c r="D101" s="8" t="inlineStr"/>
      <c r="E101" s="8" t="inlineStr"/>
    </row>
    <row r="102">
      <c r="A102" s="11" t="inlineStr">
        <is>
          <t>6142</t>
        </is>
      </c>
      <c r="B102" s="12" t="inlineStr">
        <is>
          <t>Plumbing</t>
        </is>
      </c>
      <c r="C102" s="12" t="inlineStr">
        <is>
          <t>OPERATING EXPENSES</t>
        </is>
      </c>
      <c r="D102" s="11" t="inlineStr"/>
      <c r="E102" s="11" t="inlineStr"/>
    </row>
    <row r="103">
      <c r="A103" s="8" t="inlineStr">
        <is>
          <t>6143</t>
        </is>
      </c>
      <c r="B103" s="10" t="inlineStr">
        <is>
          <t>Flooring</t>
        </is>
      </c>
      <c r="C103" s="10" t="inlineStr">
        <is>
          <t>OPERATING EXPENSES</t>
        </is>
      </c>
      <c r="D103" s="8" t="inlineStr"/>
      <c r="E103" s="8" t="inlineStr"/>
    </row>
    <row r="104">
      <c r="A104" s="11" t="inlineStr">
        <is>
          <t>6144</t>
        </is>
      </c>
      <c r="B104" s="12" t="inlineStr">
        <is>
          <t>HVAC</t>
        </is>
      </c>
      <c r="C104" s="12" t="inlineStr">
        <is>
          <t>OPERATING EXPENSES</t>
        </is>
      </c>
      <c r="D104" s="11" t="inlineStr"/>
      <c r="E104" s="11" t="inlineStr"/>
    </row>
    <row r="105">
      <c r="A105" s="8" t="inlineStr">
        <is>
          <t>6145</t>
        </is>
      </c>
      <c r="B105" s="10" t="inlineStr">
        <is>
          <t>Key/Lock</t>
        </is>
      </c>
      <c r="C105" s="10" t="inlineStr">
        <is>
          <t>OPERATING EXPENSES</t>
        </is>
      </c>
      <c r="D105" s="8" t="inlineStr"/>
      <c r="E105" s="8" t="inlineStr"/>
    </row>
    <row r="106">
      <c r="A106" s="11" t="inlineStr">
        <is>
          <t>6147</t>
        </is>
      </c>
      <c r="B106" s="12" t="inlineStr">
        <is>
          <t>Repairs - Other</t>
        </is>
      </c>
      <c r="C106" s="12" t="inlineStr">
        <is>
          <t>OPERATING EXPENSES</t>
        </is>
      </c>
      <c r="D106" s="11" t="inlineStr"/>
      <c r="E106" s="11" t="inlineStr"/>
    </row>
    <row r="107">
      <c r="A107" s="8" t="inlineStr">
        <is>
          <t>6150</t>
        </is>
      </c>
      <c r="B107" s="10" t="inlineStr">
        <is>
          <t>Supplies</t>
        </is>
      </c>
      <c r="C107" s="10" t="inlineStr">
        <is>
          <t>OPERATING EXPENSES</t>
        </is>
      </c>
      <c r="D107" s="8" t="inlineStr"/>
      <c r="E107" s="8" t="inlineStr"/>
    </row>
    <row r="108">
      <c r="A108" s="11" t="inlineStr">
        <is>
          <t>6101</t>
        </is>
      </c>
      <c r="B108" s="12" t="inlineStr">
        <is>
          <t>Legal</t>
        </is>
      </c>
      <c r="C108" s="12" t="inlineStr">
        <is>
          <t>OPERATING EXPENSES</t>
        </is>
      </c>
      <c r="D108" s="11" t="inlineStr"/>
      <c r="E108" s="11" t="inlineStr"/>
    </row>
    <row r="109">
      <c r="A109" s="8" t="inlineStr">
        <is>
          <t>6102</t>
        </is>
      </c>
      <c r="B109" s="10" t="inlineStr">
        <is>
          <t>Accounting</t>
        </is>
      </c>
      <c r="C109" s="10" t="inlineStr">
        <is>
          <t>OPERATING EXPENSES</t>
        </is>
      </c>
      <c r="D109" s="8" t="inlineStr"/>
      <c r="E109" s="8" t="inlineStr"/>
    </row>
    <row r="110">
      <c r="A110" s="11" t="inlineStr">
        <is>
          <t>6103</t>
        </is>
      </c>
      <c r="B110" s="12" t="inlineStr">
        <is>
          <t>Professional - Other</t>
        </is>
      </c>
      <c r="C110" s="12" t="inlineStr">
        <is>
          <t>OPERATING EXPENSES</t>
        </is>
      </c>
      <c r="D110" s="11" t="inlineStr"/>
      <c r="E110" s="11" t="inlineStr"/>
    </row>
    <row r="111">
      <c r="A111" s="8" t="inlineStr">
        <is>
          <t>6105</t>
        </is>
      </c>
      <c r="B111" s="10" t="inlineStr">
        <is>
          <t>Security Service</t>
        </is>
      </c>
      <c r="C111" s="10" t="inlineStr">
        <is>
          <t>OPERATING EXPENSES</t>
        </is>
      </c>
      <c r="D111" s="8" t="inlineStr"/>
      <c r="E111" s="8" t="inlineStr"/>
    </row>
    <row r="112">
      <c r="A112" s="11" t="inlineStr">
        <is>
          <t>6106</t>
        </is>
      </c>
      <c r="B112" s="12" t="inlineStr">
        <is>
          <t>Bank Fees</t>
        </is>
      </c>
      <c r="C112" s="12" t="inlineStr">
        <is>
          <t>OPERATING EXPENSES</t>
        </is>
      </c>
      <c r="D112" s="11" t="inlineStr"/>
      <c r="E112" s="11" t="inlineStr"/>
    </row>
    <row r="113">
      <c r="A113" s="8" t="inlineStr">
        <is>
          <t>6107</t>
        </is>
      </c>
      <c r="B113" s="10" t="inlineStr">
        <is>
          <t>Travel</t>
        </is>
      </c>
      <c r="C113" s="10" t="inlineStr">
        <is>
          <t>OPERATING EXPENSES</t>
        </is>
      </c>
      <c r="D113" s="8" t="inlineStr"/>
      <c r="E113" s="8" t="inlineStr"/>
    </row>
    <row r="114">
      <c r="A114" s="11" t="inlineStr">
        <is>
          <t>6108</t>
        </is>
      </c>
      <c r="B114" s="12" t="inlineStr">
        <is>
          <t>Meals</t>
        </is>
      </c>
      <c r="C114" s="12" t="inlineStr">
        <is>
          <t>OPERATING EXPENSES</t>
        </is>
      </c>
      <c r="D114" s="11" t="inlineStr"/>
      <c r="E114" s="11" t="inlineStr"/>
    </row>
    <row r="115">
      <c r="A115" s="8" t="inlineStr">
        <is>
          <t>6179</t>
        </is>
      </c>
      <c r="B115" s="10" t="inlineStr">
        <is>
          <t>Asset Mgmt Fee</t>
        </is>
      </c>
      <c r="C115" s="10" t="inlineStr">
        <is>
          <t>OPERATING EXPENSES</t>
        </is>
      </c>
      <c r="D115" s="8" t="inlineStr"/>
      <c r="E115" s="8" t="inlineStr"/>
    </row>
    <row r="116">
      <c r="A116" s="11" t="inlineStr">
        <is>
          <t>6119</t>
        </is>
      </c>
      <c r="B116" s="12" t="inlineStr">
        <is>
          <t>Principal</t>
        </is>
      </c>
      <c r="C116" s="12" t="inlineStr">
        <is>
          <t>DEBT SERVICE</t>
        </is>
      </c>
      <c r="D116" s="11" t="inlineStr"/>
      <c r="E116" s="11" t="inlineStr"/>
    </row>
    <row r="117">
      <c r="A117" s="8" t="inlineStr">
        <is>
          <t>6121</t>
        </is>
      </c>
      <c r="B117" s="10" t="inlineStr">
        <is>
          <t>Interest</t>
        </is>
      </c>
      <c r="C117" s="10" t="inlineStr">
        <is>
          <t>DEBT SERVICE</t>
        </is>
      </c>
      <c r="D117" s="8" t="inlineStr"/>
      <c r="E117" s="8" t="inlineStr"/>
    </row>
    <row r="118">
      <c r="A118" s="11" t="inlineStr">
        <is>
          <t>7010</t>
        </is>
      </c>
      <c r="B118" s="12" t="inlineStr">
        <is>
          <t>Appliances</t>
        </is>
      </c>
      <c r="C118" s="12" t="inlineStr">
        <is>
          <t>CAPITAL EXPENDITURES (Below the Line)</t>
        </is>
      </c>
      <c r="D118" s="11" t="inlineStr"/>
      <c r="E118" s="11" t="inlineStr"/>
    </row>
    <row r="119">
      <c r="A119" s="8" t="inlineStr">
        <is>
          <t>7020</t>
        </is>
      </c>
      <c r="B119" s="10" t="inlineStr">
        <is>
          <t>Equipment/Tools</t>
        </is>
      </c>
      <c r="C119" s="10" t="inlineStr">
        <is>
          <t>CAPITAL EXPENDITURES (Below the Line)</t>
        </is>
      </c>
      <c r="D119" s="8" t="inlineStr"/>
      <c r="E119" s="8" t="inlineStr"/>
    </row>
    <row r="120">
      <c r="A120" s="11" t="inlineStr">
        <is>
          <t>7030</t>
        </is>
      </c>
      <c r="B120" s="12" t="inlineStr">
        <is>
          <t>Remodel</t>
        </is>
      </c>
      <c r="C120" s="12" t="inlineStr">
        <is>
          <t>CAPITAL EXPENDITURES (Below the Line)</t>
        </is>
      </c>
      <c r="D120" s="11" t="inlineStr"/>
      <c r="E120" s="11" t="inlineStr"/>
    </row>
    <row r="121">
      <c r="A121" s="8" t="inlineStr">
        <is>
          <t>7060</t>
        </is>
      </c>
      <c r="B121" s="10" t="inlineStr">
        <is>
          <t>Labor</t>
        </is>
      </c>
      <c r="C121" s="10" t="inlineStr">
        <is>
          <t>CAPITAL EXPENDITURES (Below the Line)</t>
        </is>
      </c>
      <c r="D121" s="8" t="inlineStr"/>
      <c r="E121" s="8" t="inlineStr"/>
    </row>
    <row r="122">
      <c r="A122" s="11" t="inlineStr">
        <is>
          <t>7070</t>
        </is>
      </c>
      <c r="B122" s="12" t="inlineStr">
        <is>
          <t>Flooring</t>
        </is>
      </c>
      <c r="C122" s="12" t="inlineStr">
        <is>
          <t>CAPITAL EXPENDITURES (Below the Line)</t>
        </is>
      </c>
      <c r="D122" s="11" t="inlineStr"/>
      <c r="E122" s="11" t="inlineStr"/>
    </row>
    <row r="123">
      <c r="A123" s="8" t="inlineStr">
        <is>
          <t>7080</t>
        </is>
      </c>
      <c r="B123" s="10" t="inlineStr">
        <is>
          <t>Hardware</t>
        </is>
      </c>
      <c r="C123" s="10" t="inlineStr">
        <is>
          <t>CAPITAL EXPENDITURES (Below the Line)</t>
        </is>
      </c>
      <c r="D123" s="8" t="inlineStr"/>
      <c r="E123" s="8" t="inlineStr"/>
    </row>
    <row r="124">
      <c r="A124" s="11" t="inlineStr">
        <is>
          <t>7090</t>
        </is>
      </c>
      <c r="B124" s="12" t="inlineStr">
        <is>
          <t>Cabinets</t>
        </is>
      </c>
      <c r="C124" s="12" t="inlineStr">
        <is>
          <t>CAPITAL EXPENDITURES (Below the Line)</t>
        </is>
      </c>
      <c r="D124" s="11" t="inlineStr"/>
      <c r="E124" s="11" t="inlineStr"/>
    </row>
    <row r="125">
      <c r="A125" s="8" t="inlineStr">
        <is>
          <t>7100</t>
        </is>
      </c>
      <c r="B125" s="10" t="inlineStr">
        <is>
          <t>Supplies</t>
        </is>
      </c>
      <c r="C125" s="10" t="inlineStr">
        <is>
          <t>CAPITAL EXPENDITURES (Below the Line)</t>
        </is>
      </c>
      <c r="D125" s="8" t="inlineStr"/>
      <c r="E125" s="8" t="inlineStr"/>
    </row>
    <row r="126">
      <c r="A126" s="11" t="inlineStr">
        <is>
          <t>7110</t>
        </is>
      </c>
      <c r="B126" s="12" t="inlineStr">
        <is>
          <t>Paint</t>
        </is>
      </c>
      <c r="C126" s="12" t="inlineStr">
        <is>
          <t>CAPITAL EXPENDITURES (Below the Line)</t>
        </is>
      </c>
      <c r="D126" s="11" t="inlineStr"/>
      <c r="E126" s="11" t="inlineStr"/>
    </row>
    <row r="127">
      <c r="A127" s="8" t="inlineStr"/>
      <c r="B127" s="10" t="inlineStr">
        <is>
          <t>Cash-on-Cash (Ann.)</t>
        </is>
      </c>
      <c r="C127" s="10" t="inlineStr">
        <is>
          <t>CAPITAL EXPENDITURES (Below the Line)</t>
        </is>
      </c>
      <c r="D127" s="8" t="inlineStr"/>
      <c r="E127" s="8" t="inlineStr"/>
    </row>
    <row r="128">
      <c r="A128" s="11" t="inlineStr"/>
      <c r="B128" s="12" t="inlineStr">
        <is>
          <t>DSCR</t>
        </is>
      </c>
      <c r="C128" s="12" t="inlineStr">
        <is>
          <t>KEY METRICS</t>
        </is>
      </c>
      <c r="D128" s="11" t="inlineStr"/>
      <c r="E128" s="11" t="inlineStr"/>
    </row>
    <row r="129">
      <c r="A129" s="8" t="inlineStr"/>
      <c r="B129" s="10" t="inlineStr">
        <is>
          <t>Cap Rate</t>
        </is>
      </c>
      <c r="C129" s="10" t="inlineStr">
        <is>
          <t>KEY METRICS</t>
        </is>
      </c>
      <c r="D129" s="8" t="inlineStr"/>
      <c r="E129" s="8" t="inlineStr"/>
    </row>
    <row r="130">
      <c r="A130" s="11" t="inlineStr"/>
      <c r="B130" s="12" t="inlineStr">
        <is>
          <t>Expense Ratio</t>
        </is>
      </c>
      <c r="C130" s="12" t="inlineStr">
        <is>
          <t>KEY METRICS</t>
        </is>
      </c>
      <c r="D130" s="11" t="inlineStr"/>
      <c r="E130" s="11" t="inlineStr"/>
    </row>
    <row r="131">
      <c r="A131" s="8" t="inlineStr"/>
      <c r="B131" s="10" t="inlineStr">
        <is>
          <t>Cash-on-Cash (CFADS)</t>
        </is>
      </c>
      <c r="C131" s="10" t="inlineStr">
        <is>
          <t>KEY METRICS</t>
        </is>
      </c>
      <c r="D131" s="8" t="inlineStr"/>
      <c r="E131" s="8" t="inlineStr"/>
    </row>
    <row r="132"/>
    <row r="133" ht="20" customHeight="1">
      <c r="A133" s="6" t="n"/>
      <c r="B133" s="6" t="inlineStr">
        <is>
          <t>FORMULA NOTES</t>
        </is>
      </c>
      <c r="C133" s="6" t="n"/>
      <c r="D133" s="6" t="n"/>
      <c r="E133" s="6" t="n"/>
    </row>
    <row r="134">
      <c r="A134" s="11" t="inlineStr"/>
      <c r="B134" s="12" t="inlineStr">
        <is>
          <t>All data cells contain Excel SUMIFS formulas — never edit them directly</t>
        </is>
      </c>
      <c r="C134" s="12" t="inlineStr"/>
      <c r="D134" s="11" t="inlineStr"/>
      <c r="E134" s="11" t="inlineStr"/>
    </row>
    <row r="135">
      <c r="A135" s="8" t="inlineStr"/>
      <c r="B135" s="10" t="inlineStr">
        <is>
          <t>Yellow cells are the only manual inputs (Assumptions sheet)</t>
        </is>
      </c>
      <c r="C135" s="10" t="inlineStr"/>
      <c r="D135" s="8" t="inlineStr"/>
      <c r="E135" s="8" t="inlineStr"/>
    </row>
    <row r="136">
      <c r="A136" s="11" t="inlineStr"/>
      <c r="B136" s="12" t="inlineStr">
        <is>
          <t>Green rows (NOI, CFADS, NCF) are key profitability metrics</t>
        </is>
      </c>
      <c r="C136" s="12" t="inlineStr"/>
      <c r="D136" s="11" t="inlineStr"/>
      <c r="E136" s="11" t="inlineStr"/>
    </row>
    <row r="137">
      <c r="A137" s="8" t="inlineStr"/>
      <c r="B137" s="10" t="inlineStr">
        <is>
          <t>T12 TTM column always sums the 12 most recent months in the dataset</t>
        </is>
      </c>
      <c r="C137" s="10" t="inlineStr"/>
      <c r="D137" s="8" t="inlineStr"/>
      <c r="E137" s="8" t="inlineStr"/>
    </row>
    <row r="138">
      <c r="A138" s="11" t="inlineStr"/>
      <c r="B138" s="12" t="inlineStr">
        <is>
          <t>Cross-sheet references update automatically when build.py is re-run</t>
        </is>
      </c>
      <c r="C138" s="12" t="inlineStr"/>
      <c r="D138" s="11" t="inlineStr"/>
      <c r="E138" s="11" t="inlineStr"/>
    </row>
    <row r="139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4" customWidth="1" min="4" max="4"/>
    <col width="8" customWidth="1" min="5" max="5"/>
    <col width="26" customWidth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Executive Summary</t>
        </is>
      </c>
      <c r="B1" s="3" t="n"/>
      <c r="C1" s="3" t="n"/>
      <c r="D1" s="3" t="n"/>
      <c r="E1" s="3" t="n"/>
      <c r="F1" s="3" t="n"/>
    </row>
    <row r="2" ht="18" customHeight="1">
      <c r="A2" s="4" t="inlineStr">
        <is>
          <t>6800-6810 63rd Ave N, Brooklyn Park MN 55443  |  120 Units  |  T12 Trailing 12-Month View</t>
        </is>
      </c>
      <c r="B2" s="5" t="n"/>
      <c r="C2" s="5" t="n"/>
      <c r="D2" s="5" t="n"/>
      <c r="E2" s="5" t="n"/>
      <c r="F2" s="5" t="n"/>
    </row>
    <row r="3" ht="20" customHeight="1">
      <c r="A3" s="6" t="inlineStr">
        <is>
          <t>KPI HIGHLIGHTS</t>
        </is>
      </c>
      <c r="B3" s="6" t="n"/>
      <c r="C3" s="6" t="n"/>
      <c r="D3" s="6" t="n"/>
      <c r="E3" s="6" t="n"/>
      <c r="F3" s="6" t="n"/>
    </row>
    <row r="4" ht="20" customHeight="1">
      <c r="A4" s="7" t="inlineStr">
        <is>
          <t>Metric</t>
        </is>
      </c>
      <c r="B4" s="7" t="inlineStr">
        <is>
          <t>Value</t>
        </is>
      </c>
      <c r="C4" s="7" t="inlineStr">
        <is>
          <t>Period</t>
        </is>
      </c>
      <c r="D4" s="7" t="inlineStr">
        <is>
          <t>Target / Benchmark</t>
        </is>
      </c>
      <c r="E4" s="7" t="inlineStr"/>
      <c r="F4" s="7" t="inlineStr">
        <is>
          <t>Notes</t>
        </is>
      </c>
    </row>
    <row r="5">
      <c r="A5" s="14" t="inlineStr">
        <is>
          <t>NET OPERATING INCOME (NOI)</t>
        </is>
      </c>
      <c r="B5" s="15">
        <f>INDEX(T12_PL!$O:$O,MATCH("NET OPERATING INCOME (NOI)",T12_PL!$B:$B,0))</f>
        <v/>
      </c>
      <c r="C5" s="16" t="inlineStr">
        <is>
          <t>T12</t>
        </is>
      </c>
      <c r="D5" s="16" t="inlineStr"/>
      <c r="E5" s="17" t="n"/>
      <c r="F5" s="16" t="inlineStr">
        <is>
          <t>Key profitability indicator</t>
        </is>
      </c>
    </row>
    <row r="6">
      <c r="A6" s="14" t="inlineStr">
        <is>
          <t>CASH FLOW AFTER DEBT SERVICE</t>
        </is>
      </c>
      <c r="B6" s="15">
        <f>INDEX(T12_PL!$O:$O,MATCH("CASH FLOW AFTER DEBT SERVICE",T12_PL!$B:$B,0))</f>
        <v/>
      </c>
      <c r="C6" s="16" t="inlineStr">
        <is>
          <t>T12</t>
        </is>
      </c>
      <c r="D6" s="16" t="inlineStr"/>
      <c r="E6" s="17" t="n"/>
      <c r="F6" s="16" t="inlineStr">
        <is>
          <t>After all debt payments</t>
        </is>
      </c>
    </row>
    <row r="7">
      <c r="A7" s="14" t="inlineStr">
        <is>
          <t>NET CASH FLOW</t>
        </is>
      </c>
      <c r="B7" s="15">
        <f>INDEX(T12_PL!$O:$O,MATCH("NET CASH FLOW",T12_PL!$B:$B,0))</f>
        <v/>
      </c>
      <c r="C7" s="16" t="inlineStr">
        <is>
          <t>T12</t>
        </is>
      </c>
      <c r="D7" s="16" t="inlineStr"/>
      <c r="E7" s="17" t="n"/>
      <c r="F7" s="16" t="inlineStr">
        <is>
          <t>After capex</t>
        </is>
      </c>
    </row>
    <row r="8">
      <c r="A8" s="18" t="inlineStr">
        <is>
          <t>DSCR</t>
        </is>
      </c>
      <c r="B8" s="19">
        <f>INDEX(T12_PL!$O:$O,MATCH("DSCR",T12_PL!$B:$B,0))</f>
        <v/>
      </c>
      <c r="C8" s="11" t="inlineStr">
        <is>
          <t>Last Mo</t>
        </is>
      </c>
      <c r="D8" s="11" t="inlineStr">
        <is>
          <t>≥ 1.25×</t>
        </is>
      </c>
      <c r="E8" s="20" t="n"/>
      <c r="F8" s="11" t="inlineStr">
        <is>
          <t>Debt service coverage</t>
        </is>
      </c>
    </row>
    <row r="9">
      <c r="A9" s="21" t="inlineStr">
        <is>
          <t>Cap Rate (T12)</t>
        </is>
      </c>
      <c r="B9" s="22">
        <f>INDEX(T12_PL!$O:$O,MATCH("Cap Rate",T12_PL!$B:$B,0))</f>
        <v/>
      </c>
      <c r="C9" s="8" t="inlineStr">
        <is>
          <t>T12 Ann.</t>
        </is>
      </c>
      <c r="D9" s="8" t="inlineStr">
        <is>
          <t>6–8%</t>
        </is>
      </c>
      <c r="E9" s="23" t="n"/>
      <c r="F9" s="8" t="inlineStr">
        <is>
          <t>Annualized NOI / Purchase Price</t>
        </is>
      </c>
    </row>
    <row r="10">
      <c r="A10" s="18" t="inlineStr">
        <is>
          <t>Cash-on-Cash Return (NCF)</t>
        </is>
      </c>
      <c r="B10" s="24">
        <f>INDEX(T12_PL!$O:$O,MATCH("Cash-on-Cash (Ann.)",T12_PL!$B:$B,0))</f>
        <v/>
      </c>
      <c r="C10" s="11" t="inlineStr">
        <is>
          <t>T12 Ann.</t>
        </is>
      </c>
      <c r="D10" s="11" t="inlineStr">
        <is>
          <t>8–12%</t>
        </is>
      </c>
      <c r="E10" s="20" t="n"/>
      <c r="F10" s="11" t="inlineStr">
        <is>
          <t>Ann. NCF / Total Equity</t>
        </is>
      </c>
    </row>
    <row r="11">
      <c r="A11" s="21" t="inlineStr">
        <is>
          <t>Expense Ratio</t>
        </is>
      </c>
      <c r="B11" s="22">
        <f>INDEX(T12_PL!$O:$O,MATCH("Expense Ratio",T12_PL!$B:$B,0))</f>
        <v/>
      </c>
      <c r="C11" s="8" t="inlineStr">
        <is>
          <t>Last Mo</t>
        </is>
      </c>
      <c r="D11" s="8" t="inlineStr">
        <is>
          <t>&lt; 50%</t>
        </is>
      </c>
      <c r="E11" s="23" t="n"/>
      <c r="F11" s="8" t="inlineStr">
        <is>
          <t>OpEx / EGI</t>
        </is>
      </c>
    </row>
    <row r="12">
      <c r="A12" s="18" t="inlineStr">
        <is>
          <t>Effective Gross Income</t>
        </is>
      </c>
      <c r="B12" s="25">
        <f>INDEX(T12_PL!$O:$O,MATCH("EFFECTIVE GROSS INCOME (EGI)",T12_PL!$B:$B,0))</f>
        <v/>
      </c>
      <c r="C12" s="11" t="inlineStr">
        <is>
          <t>T12</t>
        </is>
      </c>
      <c r="D12" s="11" t="inlineStr"/>
      <c r="E12" s="20" t="n"/>
      <c r="F12" s="11" t="inlineStr"/>
    </row>
    <row r="13">
      <c r="A13" s="21" t="inlineStr">
        <is>
          <t>Total Operating Expenses</t>
        </is>
      </c>
      <c r="B13" s="26">
        <f>INDEX(T12_PL!$O:$O,MATCH("Total Operating Expenses",T12_PL!$B:$B,0))</f>
        <v/>
      </c>
      <c r="C13" s="8" t="inlineStr">
        <is>
          <t>T12</t>
        </is>
      </c>
      <c r="D13" s="8" t="inlineStr"/>
      <c r="E13" s="23" t="n"/>
      <c r="F13" s="8" t="inlineStr"/>
    </row>
    <row r="14"/>
    <row r="15" ht="20" customHeight="1">
      <c r="A15" s="6" t="inlineStr">
        <is>
          <t>T12 INCOME SUMMARY</t>
        </is>
      </c>
      <c r="B15" s="6" t="n"/>
      <c r="C15" s="6" t="n"/>
      <c r="D15" s="6" t="n"/>
      <c r="E15" s="6" t="n"/>
      <c r="F15" s="6" t="n"/>
    </row>
    <row r="16" ht="20" customHeight="1">
      <c r="A16" s="7" t="inlineStr">
        <is>
          <t>Line Item</t>
        </is>
      </c>
      <c r="B16" s="7" t="inlineStr">
        <is>
          <t>T12 Total</t>
        </is>
      </c>
      <c r="C16" s="7" t="inlineStr"/>
      <c r="D16" s="7" t="inlineStr"/>
      <c r="E16" s="7" t="inlineStr"/>
      <c r="F16" s="7" t="inlineStr"/>
    </row>
    <row r="17">
      <c r="A17" s="10" t="inlineStr">
        <is>
          <t>Gross Potential Rent</t>
        </is>
      </c>
      <c r="B17" s="26">
        <f>INDEX(T12_PL!$O:$O,MATCH("Gross Potential Rent",T12_PL!$B:$B,0))</f>
        <v/>
      </c>
      <c r="C17" s="23" t="n"/>
      <c r="D17" s="23" t="n"/>
      <c r="E17" s="23" t="n"/>
      <c r="F17" s="23" t="n"/>
    </row>
    <row r="18">
      <c r="A18" s="12" t="inlineStr">
        <is>
          <t>Loss/Gain to Market</t>
        </is>
      </c>
      <c r="B18" s="25">
        <f>INDEX(T12_PL!$O:$O,MATCH("Loss/Gain to Market",T12_PL!$B:$B,0))</f>
        <v/>
      </c>
      <c r="C18" s="20" t="n"/>
      <c r="D18" s="20" t="n"/>
      <c r="E18" s="20" t="n"/>
      <c r="F18" s="20" t="n"/>
    </row>
    <row r="19">
      <c r="A19" s="10" t="inlineStr">
        <is>
          <t>Vacancy</t>
        </is>
      </c>
      <c r="B19" s="26">
        <f>INDEX(T12_PL!$O:$O,MATCH("Vacancy",T12_PL!$B:$B,0))</f>
        <v/>
      </c>
      <c r="C19" s="23" t="n"/>
      <c r="D19" s="23" t="n"/>
      <c r="E19" s="23" t="n"/>
      <c r="F19" s="23" t="n"/>
    </row>
    <row r="20">
      <c r="A20" s="12" t="inlineStr">
        <is>
          <t>Delinquency</t>
        </is>
      </c>
      <c r="B20" s="25">
        <f>INDEX(T12_PL!$O:$O,MATCH("Delinquency",T12_PL!$B:$B,0))</f>
        <v/>
      </c>
      <c r="C20" s="20" t="n"/>
      <c r="D20" s="20" t="n"/>
      <c r="E20" s="20" t="n"/>
      <c r="F20" s="20" t="n"/>
    </row>
    <row r="21">
      <c r="A21" s="27" t="inlineStr">
        <is>
          <t>Effective Rental Income</t>
        </is>
      </c>
      <c r="B21" s="28">
        <f>INDEX(T12_PL!$O:$O,MATCH("Effective Rental Income",T12_PL!$B:$B,0))</f>
        <v/>
      </c>
      <c r="C21" s="29" t="n"/>
      <c r="D21" s="29" t="n"/>
      <c r="E21" s="29" t="n"/>
      <c r="F21" s="29" t="n"/>
    </row>
    <row r="22">
      <c r="A22" s="12" t="inlineStr">
        <is>
          <t>Total Other Income</t>
        </is>
      </c>
      <c r="B22" s="25">
        <f>INDEX(T12_PL!$O:$O,MATCH("Total Other Income",T12_PL!$B:$B,0))</f>
        <v/>
      </c>
      <c r="C22" s="20" t="n"/>
      <c r="D22" s="20" t="n"/>
      <c r="E22" s="20" t="n"/>
      <c r="F22" s="20" t="n"/>
    </row>
    <row r="23">
      <c r="A23" s="27" t="inlineStr">
        <is>
          <t>EFFECTIVE GROSS INCOME (EGI)</t>
        </is>
      </c>
      <c r="B23" s="28">
        <f>INDEX(T12_PL!$O:$O,MATCH("EFFECTIVE GROSS INCOME (EGI)",T12_PL!$B:$B,0))</f>
        <v/>
      </c>
      <c r="C23" s="29" t="n"/>
      <c r="D23" s="29" t="n"/>
      <c r="E23" s="29" t="n"/>
      <c r="F23" s="29" t="n"/>
    </row>
    <row r="24">
      <c r="A24" s="27" t="inlineStr">
        <is>
          <t>Total Operating Expenses</t>
        </is>
      </c>
      <c r="B24" s="28">
        <f>INDEX(T12_PL!$O:$O,MATCH("Total Operating Expenses",T12_PL!$B:$B,0))</f>
        <v/>
      </c>
      <c r="C24" s="29" t="n"/>
      <c r="D24" s="29" t="n"/>
      <c r="E24" s="29" t="n"/>
      <c r="F24" s="29" t="n"/>
    </row>
    <row r="25">
      <c r="A25" s="14" t="inlineStr">
        <is>
          <t>NET OPERATING INCOME (NOI)</t>
        </is>
      </c>
      <c r="B25" s="15">
        <f>INDEX(T12_PL!$O:$O,MATCH("NET OPERATING INCOME (NOI)",T12_PL!$B:$B,0))</f>
        <v/>
      </c>
      <c r="C25" s="17" t="n"/>
      <c r="D25" s="17" t="n"/>
      <c r="E25" s="17" t="n"/>
      <c r="F25" s="17" t="n"/>
    </row>
    <row r="26">
      <c r="A26" s="12" t="inlineStr">
        <is>
          <t>Total Debt Service</t>
        </is>
      </c>
      <c r="B26" s="25">
        <f>INDEX(T12_PL!$O:$O,MATCH("Total Debt Service",T12_PL!$B:$B,0))</f>
        <v/>
      </c>
      <c r="C26" s="20" t="n"/>
      <c r="D26" s="20" t="n"/>
      <c r="E26" s="20" t="n"/>
      <c r="F26" s="20" t="n"/>
    </row>
    <row r="27">
      <c r="A27" s="14" t="inlineStr">
        <is>
          <t>CASH FLOW AFTER DEBT SERVICE</t>
        </is>
      </c>
      <c r="B27" s="15">
        <f>INDEX(T12_PL!$O:$O,MATCH("CASH FLOW AFTER DEBT SERVICE",T12_PL!$B:$B,0))</f>
        <v/>
      </c>
      <c r="C27" s="17" t="n"/>
      <c r="D27" s="17" t="n"/>
      <c r="E27" s="17" t="n"/>
      <c r="F27" s="17" t="n"/>
    </row>
    <row r="28"/>
    <row r="29" ht="20" customHeight="1">
      <c r="A29" s="6" t="inlineStr">
        <is>
          <t>PROPERTY DETAILS</t>
        </is>
      </c>
      <c r="B29" s="6" t="n"/>
      <c r="C29" s="6" t="n"/>
      <c r="D29" s="6" t="n"/>
      <c r="E29" s="6" t="n"/>
      <c r="F29" s="6" t="n"/>
    </row>
    <row r="30">
      <c r="A30" s="18" t="inlineStr">
        <is>
          <t>Property</t>
        </is>
      </c>
      <c r="B30" s="12" t="inlineStr">
        <is>
          <t>The Groves Apartments</t>
        </is>
      </c>
      <c r="C30" s="20" t="n"/>
      <c r="D30" s="20" t="n"/>
      <c r="E30" s="20" t="n"/>
      <c r="F30" s="11" t="inlineStr"/>
    </row>
    <row r="31">
      <c r="A31" s="21" t="inlineStr">
        <is>
          <t>Address</t>
        </is>
      </c>
      <c r="B31" s="10" t="inlineStr">
        <is>
          <t>6800-6810 63rd Ave N, Brooklyn Park MN 55443</t>
        </is>
      </c>
      <c r="C31" s="23" t="n"/>
      <c r="D31" s="23" t="n"/>
      <c r="E31" s="23" t="n"/>
      <c r="F31" s="8" t="inlineStr"/>
    </row>
    <row r="32">
      <c r="A32" s="18" t="inlineStr">
        <is>
          <t>Units</t>
        </is>
      </c>
      <c r="B32" s="12" t="n">
        <v>120</v>
      </c>
      <c r="C32" s="20" t="n"/>
      <c r="D32" s="20" t="n"/>
      <c r="E32" s="20" t="n"/>
      <c r="F32" s="11" t="inlineStr"/>
    </row>
    <row r="33">
      <c r="A33" s="21" t="inlineStr">
        <is>
          <t>Purchase Price</t>
        </is>
      </c>
      <c r="B33" s="10" t="inlineStr">
        <is>
          <t>$12,000,000</t>
        </is>
      </c>
      <c r="C33" s="23" t="n"/>
      <c r="D33" s="23" t="n"/>
      <c r="E33" s="23" t="n"/>
      <c r="F33" s="8" t="inlineStr"/>
    </row>
    <row r="34">
      <c r="A34" s="18" t="inlineStr">
        <is>
          <t>Purchase Date</t>
        </is>
      </c>
      <c r="B34" s="12" t="inlineStr">
        <is>
          <t>2024-08-01</t>
        </is>
      </c>
      <c r="C34" s="20" t="n"/>
      <c r="D34" s="20" t="n"/>
      <c r="E34" s="20" t="n"/>
      <c r="F34" s="11" t="inlineStr"/>
    </row>
    <row r="35"/>
    <row r="36" ht="20" customHeight="1">
      <c r="A36" s="6" t="inlineStr">
        <is>
          <t>DEBT SUMMARY</t>
        </is>
      </c>
      <c r="B36" s="6" t="n"/>
      <c r="C36" s="6" t="n"/>
      <c r="D36" s="6" t="n"/>
      <c r="E36" s="6" t="n"/>
      <c r="F36" s="6" t="n"/>
    </row>
    <row r="37">
      <c r="A37" s="21" t="inlineStr">
        <is>
          <t>Original Loan</t>
        </is>
      </c>
      <c r="B37" s="10" t="inlineStr">
        <is>
          <t>$8,838,399</t>
        </is>
      </c>
      <c r="C37" s="23" t="n"/>
      <c r="D37" s="23" t="n"/>
      <c r="E37" s="23" t="n"/>
      <c r="F37" s="8" t="inlineStr"/>
    </row>
    <row r="38">
      <c r="A38" s="18" t="inlineStr">
        <is>
          <t>Rate</t>
        </is>
      </c>
      <c r="B38" s="12" t="inlineStr">
        <is>
          <t>5.44%  |  30-yr amort</t>
        </is>
      </c>
      <c r="C38" s="20" t="n"/>
      <c r="D38" s="20" t="n"/>
      <c r="E38" s="20" t="n"/>
      <c r="F38" s="11" t="inlineStr"/>
    </row>
    <row r="39">
      <c r="A39" s="21" t="inlineStr">
        <is>
          <t>Est. Balance</t>
        </is>
      </c>
      <c r="B39" s="10" t="inlineStr">
        <is>
          <t>$8,639,141</t>
        </is>
      </c>
      <c r="C39" s="23" t="n"/>
      <c r="D39" s="23" t="n"/>
      <c r="E39" s="23" t="n"/>
      <c r="F39" s="8" t="inlineStr"/>
    </row>
    <row r="40">
      <c r="A40" s="18" t="inlineStr">
        <is>
          <t>Term</t>
        </is>
      </c>
      <c r="B40" s="12" t="inlineStr">
        <is>
          <t>5-yr term  |  Matures ~2029</t>
        </is>
      </c>
      <c r="C40" s="20" t="n"/>
      <c r="D40" s="20" t="n"/>
      <c r="E40" s="20" t="n"/>
      <c r="F40" s="11" t="inlineStr"/>
    </row>
    <row r="41"/>
    <row r="42" ht="20" customHeight="1">
      <c r="A42" s="6" t="inlineStr">
        <is>
          <t>INVESTOR RETURNS</t>
        </is>
      </c>
      <c r="B42" s="6" t="n"/>
      <c r="C42" s="6" t="n"/>
      <c r="D42" s="6" t="n"/>
      <c r="E42" s="6" t="n"/>
      <c r="F42" s="6" t="n"/>
    </row>
    <row r="43" ht="20" customHeight="1">
      <c r="A43" s="7" t="inlineStr">
        <is>
          <t>Entity</t>
        </is>
      </c>
      <c r="B43" s="7" t="inlineStr">
        <is>
          <t>Ownership %</t>
        </is>
      </c>
      <c r="C43" s="7" t="inlineStr">
        <is>
          <t>Equity</t>
        </is>
      </c>
      <c r="D43" s="7" t="inlineStr"/>
      <c r="E43" s="7" t="inlineStr"/>
      <c r="F43" s="7" t="inlineStr"/>
    </row>
    <row r="44">
      <c r="A44" s="18" t="inlineStr">
        <is>
          <t>Boxwood LLC</t>
        </is>
      </c>
      <c r="B44" s="12" t="inlineStr">
        <is>
          <t>61.674%</t>
        </is>
      </c>
      <c r="C44" s="20" t="n"/>
      <c r="D44" s="20" t="n"/>
      <c r="E44" s="20" t="n"/>
      <c r="F44" s="11" t="inlineStr">
        <is>
          <t xml:space="preserve">  $2,800,000</t>
        </is>
      </c>
    </row>
    <row r="45">
      <c r="A45" s="21" t="inlineStr">
        <is>
          <t>Groves LP LLC</t>
        </is>
      </c>
      <c r="B45" s="10" t="inlineStr">
        <is>
          <t>31.718%</t>
        </is>
      </c>
      <c r="C45" s="23" t="n"/>
      <c r="D45" s="23" t="n"/>
      <c r="E45" s="23" t="n"/>
      <c r="F45" s="8" t="inlineStr">
        <is>
          <t xml:space="preserve">  $1,439,997</t>
        </is>
      </c>
    </row>
    <row r="46" hidden="1">
      <c r="A46" s="18" t="inlineStr">
        <is>
          <t>E 2088</t>
        </is>
      </c>
      <c r="B46" s="12" t="inlineStr">
        <is>
          <t>6.608%</t>
        </is>
      </c>
      <c r="C46" s="20" t="n"/>
      <c r="D46" s="20" t="n"/>
      <c r="E46" s="20" t="n"/>
      <c r="F46" s="11" t="inlineStr">
        <is>
          <t xml:space="preserve">  $300,003</t>
        </is>
      </c>
    </row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2" customWidth="1" min="5" max="5"/>
    <col hidden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Model Assumptions</t>
        </is>
      </c>
      <c r="B1" s="3" t="n"/>
      <c r="C1" s="3" t="n"/>
      <c r="D1" s="3" t="n"/>
      <c r="E1" s="3" t="n"/>
    </row>
    <row r="2" ht="18" customHeight="1">
      <c r="A2" s="4" t="inlineStr">
        <is>
          <t>Edit yellow cells to update property, loan, and unit-mix inputs.</t>
        </is>
      </c>
      <c r="B2" s="5" t="n"/>
      <c r="C2" s="5" t="n"/>
      <c r="D2" s="5" t="n"/>
      <c r="E2" s="5" t="n"/>
    </row>
    <row r="3" ht="20" customHeight="1">
      <c r="A3" s="6" t="inlineStr">
        <is>
          <t>PROPERTY</t>
        </is>
      </c>
      <c r="B3" s="6" t="n"/>
      <c r="C3" s="6" t="n"/>
      <c r="D3" s="6" t="n"/>
      <c r="E3" s="6" t="n"/>
    </row>
    <row r="4" ht="20" customHeight="1">
      <c r="A4" s="7" t="inlineStr">
        <is>
          <t>Input</t>
        </is>
      </c>
      <c r="B4" s="7" t="inlineStr">
        <is>
          <t>Value</t>
        </is>
      </c>
      <c r="C4" s="7" t="inlineStr">
        <is>
          <t>Notes</t>
        </is>
      </c>
      <c r="D4" s="7" t="inlineStr"/>
      <c r="E4" s="7" t="inlineStr"/>
    </row>
    <row r="5">
      <c r="A5" s="21" t="inlineStr">
        <is>
          <t>Property Name</t>
        </is>
      </c>
      <c r="B5" s="30" t="inlineStr">
        <is>
          <t>The Groves Apartments</t>
        </is>
      </c>
      <c r="C5" s="23" t="n"/>
      <c r="D5" s="23" t="n"/>
      <c r="E5" s="23" t="n"/>
    </row>
    <row r="6">
      <c r="A6" s="18" t="inlineStr">
        <is>
          <t>Address</t>
        </is>
      </c>
      <c r="B6" s="30" t="inlineStr">
        <is>
          <t>6800-6810 63rd Ave N, Brooklyn Park MN 55443</t>
        </is>
      </c>
      <c r="C6" s="20" t="n"/>
      <c r="D6" s="20" t="n"/>
      <c r="E6" s="20" t="n"/>
    </row>
    <row r="7">
      <c r="A7" s="21" t="inlineStr">
        <is>
          <t>Total Units</t>
        </is>
      </c>
      <c r="B7" s="30" t="n">
        <v>120</v>
      </c>
      <c r="C7" s="8" t="inlineStr">
        <is>
          <t>Residential units</t>
        </is>
      </c>
      <c r="D7" s="23" t="n"/>
      <c r="E7" s="23" t="n"/>
    </row>
    <row r="8">
      <c r="A8" s="18" t="inlineStr">
        <is>
          <t>Rentable SF</t>
        </is>
      </c>
      <c r="B8" s="31" t="n">
        <v>99300</v>
      </c>
      <c r="C8" s="20" t="n"/>
      <c r="D8" s="20" t="n"/>
      <c r="E8" s="20" t="n"/>
    </row>
    <row r="9">
      <c r="A9" s="21" t="inlineStr">
        <is>
          <t>Year Built</t>
        </is>
      </c>
      <c r="B9" s="30" t="n">
        <v>1967</v>
      </c>
      <c r="C9" s="23" t="n"/>
      <c r="D9" s="23" t="n"/>
      <c r="E9" s="23" t="n"/>
    </row>
    <row r="10">
      <c r="A10" s="18" t="inlineStr">
        <is>
          <t>Purchase Price</t>
        </is>
      </c>
      <c r="B10" s="32" t="n">
        <v>12000000</v>
      </c>
      <c r="C10" s="20" t="n"/>
      <c r="D10" s="20" t="n"/>
      <c r="E10" s="20" t="n"/>
    </row>
    <row r="11">
      <c r="A11" s="21" t="inlineStr">
        <is>
          <t>Purchase Date</t>
        </is>
      </c>
      <c r="B11" s="30" t="inlineStr">
        <is>
          <t>2024-08-01</t>
        </is>
      </c>
      <c r="C11" s="23" t="n"/>
      <c r="D11" s="23" t="n"/>
      <c r="E11" s="23" t="n"/>
    </row>
    <row r="12">
      <c r="A12" s="18" t="inlineStr">
        <is>
          <t>Total Equity</t>
        </is>
      </c>
      <c r="B12" s="32" t="n">
        <v>4540000</v>
      </c>
      <c r="C12" s="20" t="n"/>
      <c r="D12" s="20" t="n"/>
      <c r="E12" s="20" t="n"/>
    </row>
    <row r="13">
      <c r="A13" s="21" t="inlineStr">
        <is>
          <t>Structures</t>
        </is>
      </c>
      <c r="B13" s="30" t="inlineStr">
        <is>
          <t>5 residential 24-unit bldgs, 6 garage bldgs, 1 clubhouse</t>
        </is>
      </c>
      <c r="C13" s="23" t="n"/>
      <c r="D13" s="23" t="n"/>
      <c r="E13" s="23" t="n"/>
    </row>
    <row r="14">
      <c r="A14" s="18" t="inlineStr">
        <is>
          <t>Garage Stalls</t>
        </is>
      </c>
      <c r="B14" s="30" t="n">
        <v>126</v>
      </c>
      <c r="C14" s="20" t="n"/>
      <c r="D14" s="20" t="n"/>
      <c r="E14" s="20" t="n"/>
    </row>
    <row r="15"/>
    <row r="16" ht="20" customHeight="1">
      <c r="A16" s="6" t="inlineStr">
        <is>
          <t>UNIT MIX</t>
        </is>
      </c>
      <c r="B16" s="6" t="n"/>
      <c r="C16" s="6" t="n"/>
      <c r="D16" s="6" t="n"/>
      <c r="E16" s="6" t="n"/>
    </row>
    <row r="17" ht="20" customHeight="1">
      <c r="A17" s="7" t="inlineStr">
        <is>
          <t>Type</t>
        </is>
      </c>
      <c r="B17" s="7" t="inlineStr">
        <is>
          <t>Count</t>
        </is>
      </c>
      <c r="C17" s="7" t="inlineStr">
        <is>
          <t>SF</t>
        </is>
      </c>
      <c r="D17" s="7" t="inlineStr">
        <is>
          <t>Market Rent</t>
        </is>
      </c>
      <c r="E17" s="7" t="inlineStr">
        <is>
          <t>Baths</t>
        </is>
      </c>
    </row>
    <row r="18">
      <c r="A18" s="18" t="inlineStr">
        <is>
          <t>1BR</t>
        </is>
      </c>
      <c r="B18" s="30" t="n">
        <v>60</v>
      </c>
      <c r="C18" s="31" t="n">
        <v>765</v>
      </c>
      <c r="D18" s="32" t="n">
        <v>1350</v>
      </c>
      <c r="E18" s="33" t="n">
        <v>1</v>
      </c>
    </row>
    <row r="19">
      <c r="A19" s="21" t="inlineStr">
        <is>
          <t>2BR</t>
        </is>
      </c>
      <c r="B19" s="30" t="n">
        <v>60</v>
      </c>
      <c r="C19" s="31" t="n">
        <v>890</v>
      </c>
      <c r="D19" s="32" t="n">
        <v>1550</v>
      </c>
      <c r="E19" s="33" t="n">
        <v>1</v>
      </c>
    </row>
    <row r="20"/>
    <row r="21" ht="20" customHeight="1">
      <c r="A21" s="6" t="inlineStr">
        <is>
          <t>LOAN</t>
        </is>
      </c>
      <c r="B21" s="6" t="n"/>
      <c r="C21" s="6" t="n"/>
      <c r="D21" s="6" t="n"/>
      <c r="E21" s="6" t="n"/>
    </row>
    <row r="22" ht="20" customHeight="1">
      <c r="A22" s="7" t="inlineStr">
        <is>
          <t>Input</t>
        </is>
      </c>
      <c r="B22" s="7" t="inlineStr">
        <is>
          <t>Value</t>
        </is>
      </c>
      <c r="C22" s="7" t="inlineStr">
        <is>
          <t>Notes</t>
        </is>
      </c>
      <c r="D22" s="7" t="inlineStr"/>
      <c r="E22" s="7" t="inlineStr"/>
    </row>
    <row r="23">
      <c r="A23" s="21" t="inlineStr">
        <is>
          <t>Original Amount</t>
        </is>
      </c>
      <c r="B23" s="32" t="n">
        <v>8838399</v>
      </c>
      <c r="C23" s="23" t="n"/>
      <c r="D23" s="23" t="n"/>
      <c r="E23" s="23" t="n"/>
    </row>
    <row r="24">
      <c r="A24" s="18" t="inlineStr">
        <is>
          <t>Interest Rate</t>
        </is>
      </c>
      <c r="B24" s="34" t="n">
        <v>0.0544</v>
      </c>
      <c r="C24" s="20" t="n"/>
      <c r="D24" s="20" t="n"/>
      <c r="E24" s="20" t="n"/>
    </row>
    <row r="25">
      <c r="A25" s="21" t="inlineStr">
        <is>
          <t>Amortization</t>
        </is>
      </c>
      <c r="B25" s="30" t="n">
        <v>30</v>
      </c>
      <c r="C25" s="8" t="inlineStr">
        <is>
          <t>Years</t>
        </is>
      </c>
      <c r="D25" s="23" t="n"/>
      <c r="E25" s="23" t="n"/>
    </row>
    <row r="26">
      <c r="A26" s="18" t="inlineStr">
        <is>
          <t>Loan Term</t>
        </is>
      </c>
      <c r="B26" s="30" t="n">
        <v>5</v>
      </c>
      <c r="C26" s="11" t="inlineStr">
        <is>
          <t>Years</t>
        </is>
      </c>
      <c r="D26" s="20" t="n"/>
      <c r="E26" s="20" t="n"/>
    </row>
    <row r="27">
      <c r="A27" s="21" t="inlineStr">
        <is>
          <t>Start Date</t>
        </is>
      </c>
      <c r="B27" s="30" t="inlineStr">
        <is>
          <t>2024-08-01</t>
        </is>
      </c>
      <c r="C27" s="23" t="n"/>
      <c r="D27" s="23" t="n"/>
      <c r="E27" s="23" t="n"/>
    </row>
    <row r="28">
      <c r="A28" s="18" t="inlineStr">
        <is>
          <t>Est. Current Balance</t>
        </is>
      </c>
      <c r="B28" s="32" t="n">
        <v>8639141</v>
      </c>
      <c r="C28" s="20" t="n"/>
      <c r="D28" s="20" t="n"/>
      <c r="E28" s="20" t="n"/>
    </row>
    <row r="29">
      <c r="A29" s="21" t="inlineStr">
        <is>
          <t>Interest Only</t>
        </is>
      </c>
      <c r="B29" s="30" t="inlineStr">
        <is>
          <t>No</t>
        </is>
      </c>
      <c r="C29" s="8" t="inlineStr">
        <is>
          <t>I/O period</t>
        </is>
      </c>
      <c r="D29" s="23" t="n"/>
      <c r="E29" s="23" t="n"/>
    </row>
    <row r="30"/>
    <row r="31" ht="20" customHeight="1">
      <c r="A31" s="6" t="inlineStr">
        <is>
          <t>TIC OWNERSHIP</t>
        </is>
      </c>
      <c r="B31" s="6" t="n"/>
      <c r="C31" s="6" t="n"/>
      <c r="D31" s="6" t="n"/>
      <c r="E31" s="6" t="n"/>
    </row>
    <row r="32" ht="20" customHeight="1">
      <c r="A32" s="7" t="inlineStr">
        <is>
          <t>Entity</t>
        </is>
      </c>
      <c r="B32" s="7" t="inlineStr">
        <is>
          <t>Ownership %</t>
        </is>
      </c>
      <c r="C32" s="7" t="inlineStr">
        <is>
          <t>Equity Invested</t>
        </is>
      </c>
      <c r="D32" s="7" t="inlineStr"/>
      <c r="E32" s="7" t="inlineStr"/>
    </row>
    <row r="33">
      <c r="A33" s="21" t="inlineStr">
        <is>
          <t>Boxwood LLC</t>
        </is>
      </c>
      <c r="B33" s="34" t="n">
        <v>0.61674</v>
      </c>
      <c r="C33" s="32" t="n">
        <v>2799999.6</v>
      </c>
      <c r="D33" s="23" t="n"/>
      <c r="E33" s="23" t="n"/>
    </row>
    <row r="34">
      <c r="A34" s="18" t="inlineStr">
        <is>
          <t>Groves LP LLC</t>
        </is>
      </c>
      <c r="B34" s="34" t="n">
        <v>0.31718</v>
      </c>
      <c r="C34" s="32" t="n">
        <v>1439997.2</v>
      </c>
      <c r="D34" s="20" t="n"/>
      <c r="E34" s="20" t="n"/>
    </row>
    <row r="35">
      <c r="A35" s="21" t="inlineStr">
        <is>
          <t>E 2088</t>
        </is>
      </c>
      <c r="B35" s="34" t="n">
        <v>0.06608</v>
      </c>
      <c r="C35" s="32" t="n">
        <v>300003.2</v>
      </c>
      <c r="D35" s="23" t="n"/>
      <c r="E35" s="23" t="n"/>
    </row>
    <row r="36"/>
    <row r="37" ht="20" customHeight="1">
      <c r="A37" s="6" t="inlineStr">
        <is>
          <t>VALUATION</t>
        </is>
      </c>
      <c r="B37" s="6" t="n"/>
      <c r="C37" s="6" t="n"/>
      <c r="D37" s="6" t="n"/>
      <c r="E37" s="6" t="n"/>
    </row>
    <row r="38" ht="20" customHeight="1">
      <c r="A38" s="7" t="inlineStr">
        <is>
          <t>Scenario</t>
        </is>
      </c>
      <c r="B38" s="7" t="inlineStr">
        <is>
          <t>Value</t>
        </is>
      </c>
      <c r="C38" s="7" t="inlineStr">
        <is>
          <t>Notes</t>
        </is>
      </c>
      <c r="D38" s="7" t="inlineStr"/>
      <c r="E38" s="7" t="inlineStr"/>
    </row>
    <row r="39">
      <c r="A39" s="21" t="inlineStr">
        <is>
          <t>BOV Low</t>
        </is>
      </c>
      <c r="B39" s="32" t="n">
        <v>14700000</v>
      </c>
      <c r="C39" s="23" t="n"/>
      <c r="D39" s="23" t="n"/>
      <c r="E39" s="23" t="n"/>
    </row>
    <row r="40">
      <c r="A40" s="18" t="inlineStr">
        <is>
          <t>BOV Mid</t>
        </is>
      </c>
      <c r="B40" s="32" t="n">
        <v>15000000</v>
      </c>
      <c r="C40" s="11" t="inlineStr">
        <is>
          <t>Used in TIC Ownership Est. Value</t>
        </is>
      </c>
      <c r="D40" s="20" t="n"/>
      <c r="E40" s="20" t="n"/>
    </row>
    <row r="41">
      <c r="A41" s="21" t="inlineStr">
        <is>
          <t>BOV High</t>
        </is>
      </c>
      <c r="B41" s="32" t="n">
        <v>15300000</v>
      </c>
      <c r="C41" s="23" t="n"/>
      <c r="D41" s="23" t="n"/>
      <c r="E41" s="23" t="n"/>
    </row>
    <row r="42"/>
    <row r="43" ht="20" customHeight="1">
      <c r="A43" s="6" t="inlineStr">
        <is>
          <t>REFINANCE ASSUMPTIONS</t>
        </is>
      </c>
      <c r="B43" s="6" t="n"/>
      <c r="C43" s="6" t="n"/>
      <c r="D43" s="6" t="n"/>
      <c r="E43" s="6" t="n"/>
    </row>
    <row r="44" ht="20" customHeight="1">
      <c r="A44" s="7" t="inlineStr">
        <is>
          <t>Input</t>
        </is>
      </c>
      <c r="B44" s="7" t="inlineStr">
        <is>
          <t>Value</t>
        </is>
      </c>
      <c r="C44" s="7" t="inlineStr">
        <is>
          <t>Notes</t>
        </is>
      </c>
      <c r="D44" s="7" t="inlineStr"/>
      <c r="E44" s="7" t="inlineStr"/>
    </row>
    <row r="45">
      <c r="A45" s="21" t="inlineStr">
        <is>
          <t>Projected Value</t>
        </is>
      </c>
      <c r="B45" s="32" t="n">
        <v>15000000</v>
      </c>
      <c r="C45" s="23" t="n"/>
      <c r="D45" s="23" t="n"/>
      <c r="E45" s="23" t="n"/>
    </row>
    <row r="46">
      <c r="A46" s="18" t="inlineStr">
        <is>
          <t>Target LTV</t>
        </is>
      </c>
      <c r="B46" s="34" t="n">
        <v>0.7</v>
      </c>
      <c r="C46" s="20" t="n"/>
      <c r="D46" s="20" t="n"/>
      <c r="E46" s="20" t="n"/>
    </row>
    <row r="47">
      <c r="A47" s="21" t="inlineStr">
        <is>
          <t>New Rate</t>
        </is>
      </c>
      <c r="B47" s="34" t="n">
        <v>0.0575</v>
      </c>
      <c r="C47" s="23" t="n"/>
      <c r="D47" s="23" t="n"/>
      <c r="E47" s="23" t="n"/>
    </row>
    <row r="48">
      <c r="A48" s="18" t="inlineStr">
        <is>
          <t>Amortization</t>
        </is>
      </c>
      <c r="B48" s="30" t="n">
        <v>30</v>
      </c>
      <c r="C48" s="11" t="inlineStr">
        <is>
          <t>Years</t>
        </is>
      </c>
      <c r="D48" s="20" t="n"/>
      <c r="E48" s="20" t="n"/>
    </row>
    <row r="49">
      <c r="A49" s="21" t="inlineStr">
        <is>
          <t>Term</t>
        </is>
      </c>
      <c r="B49" s="30" t="n">
        <v>10</v>
      </c>
      <c r="C49" s="8" t="inlineStr">
        <is>
          <t>Years</t>
        </is>
      </c>
      <c r="D49" s="23" t="n"/>
      <c r="E49" s="23" t="n"/>
    </row>
    <row r="50">
      <c r="A50" s="18" t="inlineStr">
        <is>
          <t>Interest Only</t>
        </is>
      </c>
      <c r="B50" s="30" t="inlineStr">
        <is>
          <t>Yes</t>
        </is>
      </c>
      <c r="C50" s="20" t="n"/>
      <c r="D50" s="20" t="n"/>
      <c r="E50" s="20" t="n"/>
    </row>
    <row r="51">
      <c r="A51" s="21" t="inlineStr">
        <is>
          <t>NOAH Equity %</t>
        </is>
      </c>
      <c r="B51" s="34" t="n">
        <v>0.9</v>
      </c>
      <c r="C51" s="23" t="n"/>
      <c r="D51" s="23" t="n"/>
      <c r="E51" s="23" t="n"/>
    </row>
    <row r="52">
      <c r="A52" s="18" t="inlineStr">
        <is>
          <t>NOAH Pref Return</t>
        </is>
      </c>
      <c r="B52" s="34" t="n">
        <v>0.0525</v>
      </c>
      <c r="C52" s="20" t="n"/>
      <c r="D52" s="20" t="n"/>
      <c r="E52" s="20" t="n"/>
    </row>
    <row r="53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Full P&amp;L — Monthly Actuals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18" customHeight="1">
      <c r="A2" s="4" t="inlineStr">
        <is>
          <t>6800-6810 63rd Ave N, Brooklyn Park MN 55443  |  17 Months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 ht="20" customHeight="1">
      <c r="A3" s="7" t="inlineStr">
        <is>
          <t>GL</t>
        </is>
      </c>
      <c r="B3" s="7" t="inlineStr">
        <is>
          <t>Account</t>
        </is>
      </c>
      <c r="C3" s="7" t="inlineStr">
        <is>
          <t>T12 TTM</t>
        </is>
      </c>
      <c r="D3" s="35" t="n">
        <v>45505</v>
      </c>
      <c r="E3" s="35" t="n">
        <v>45536</v>
      </c>
      <c r="F3" s="35" t="n">
        <v>45566</v>
      </c>
      <c r="G3" s="35" t="n">
        <v>45597</v>
      </c>
      <c r="H3" s="35" t="n">
        <v>45627</v>
      </c>
      <c r="I3" s="35" t="n">
        <v>45658</v>
      </c>
      <c r="J3" s="35" t="n">
        <v>45689</v>
      </c>
      <c r="K3" s="35" t="n">
        <v>45717</v>
      </c>
      <c r="L3" s="35" t="n">
        <v>45748</v>
      </c>
      <c r="M3" s="35" t="n">
        <v>45778</v>
      </c>
      <c r="N3" s="35" t="n">
        <v>45809</v>
      </c>
      <c r="O3" s="35" t="n">
        <v>45839</v>
      </c>
      <c r="P3" s="35" t="n">
        <v>45870</v>
      </c>
      <c r="Q3" s="35" t="n">
        <v>45901</v>
      </c>
      <c r="R3" s="35" t="n">
        <v>45931</v>
      </c>
      <c r="S3" s="35" t="n">
        <v>45962</v>
      </c>
      <c r="T3" s="35" t="n">
        <v>45992</v>
      </c>
    </row>
    <row r="4" ht="20" customHeight="1">
      <c r="A4" s="6" t="n"/>
      <c r="B4" s="6" t="inlineStr">
        <is>
          <t>REVENUE</t>
        </is>
      </c>
      <c r="C4" s="36">
        <f>SUM(I4:T4)</f>
        <v/>
      </c>
      <c r="D4" s="36">
        <f>SUMIFS(qPL_Fact!$D:$D,qPL_Fact!$C:$C,$B4,qPL_Fact!$A:$A,D$3)</f>
        <v/>
      </c>
      <c r="E4" s="36">
        <f>SUMIFS(qPL_Fact!$D:$D,qPL_Fact!$C:$C,$B4,qPL_Fact!$A:$A,E$3)</f>
        <v/>
      </c>
      <c r="F4" s="36">
        <f>SUMIFS(qPL_Fact!$D:$D,qPL_Fact!$C:$C,$B4,qPL_Fact!$A:$A,F$3)</f>
        <v/>
      </c>
      <c r="G4" s="36">
        <f>SUMIFS(qPL_Fact!$D:$D,qPL_Fact!$C:$C,$B4,qPL_Fact!$A:$A,G$3)</f>
        <v/>
      </c>
      <c r="H4" s="36">
        <f>SUMIFS(qPL_Fact!$D:$D,qPL_Fact!$C:$C,$B4,qPL_Fact!$A:$A,H$3)</f>
        <v/>
      </c>
      <c r="I4" s="36">
        <f>SUMIFS(qPL_Fact!$D:$D,qPL_Fact!$C:$C,$B4,qPL_Fact!$A:$A,I$3)</f>
        <v/>
      </c>
      <c r="J4" s="36">
        <f>SUMIFS(qPL_Fact!$D:$D,qPL_Fact!$C:$C,$B4,qPL_Fact!$A:$A,J$3)</f>
        <v/>
      </c>
      <c r="K4" s="36">
        <f>SUMIFS(qPL_Fact!$D:$D,qPL_Fact!$C:$C,$B4,qPL_Fact!$A:$A,K$3)</f>
        <v/>
      </c>
      <c r="L4" s="36">
        <f>SUMIFS(qPL_Fact!$D:$D,qPL_Fact!$C:$C,$B4,qPL_Fact!$A:$A,L$3)</f>
        <v/>
      </c>
      <c r="M4" s="36">
        <f>SUMIFS(qPL_Fact!$D:$D,qPL_Fact!$C:$C,$B4,qPL_Fact!$A:$A,M$3)</f>
        <v/>
      </c>
      <c r="N4" s="36">
        <f>SUMIFS(qPL_Fact!$D:$D,qPL_Fact!$C:$C,$B4,qPL_Fact!$A:$A,N$3)</f>
        <v/>
      </c>
      <c r="O4" s="36">
        <f>SUMIFS(qPL_Fact!$D:$D,qPL_Fact!$C:$C,$B4,qPL_Fact!$A:$A,O$3)</f>
        <v/>
      </c>
      <c r="P4" s="36">
        <f>SUMIFS(qPL_Fact!$D:$D,qPL_Fact!$C:$C,$B4,qPL_Fact!$A:$A,P$3)</f>
        <v/>
      </c>
      <c r="Q4" s="36">
        <f>SUMIFS(qPL_Fact!$D:$D,qPL_Fact!$C:$C,$B4,qPL_Fact!$A:$A,Q$3)</f>
        <v/>
      </c>
      <c r="R4" s="36">
        <f>SUMIFS(qPL_Fact!$D:$D,qPL_Fact!$C:$C,$B4,qPL_Fact!$A:$A,R$3)</f>
        <v/>
      </c>
      <c r="S4" s="36">
        <f>SUMIFS(qPL_Fact!$D:$D,qPL_Fact!$C:$C,$B4,qPL_Fact!$A:$A,S$3)</f>
        <v/>
      </c>
      <c r="T4" s="36">
        <f>SUMIFS(qPL_Fact!$D:$D,qPL_Fact!$C:$C,$B4,qPL_Fact!$A:$A,T$3)</f>
        <v/>
      </c>
    </row>
    <row r="5">
      <c r="A5" s="8" t="inlineStr">
        <is>
          <t>3090</t>
        </is>
      </c>
      <c r="B5" s="10" t="inlineStr">
        <is>
          <t>Gross Potential Rent</t>
        </is>
      </c>
      <c r="C5" s="37">
        <f>SUM(I5:T5)</f>
        <v/>
      </c>
      <c r="D5" s="37">
        <f>SUMIFS(qPL_Fact!$D:$D,qPL_Fact!$C:$C,$B5,qPL_Fact!$A:$A,D$3)</f>
        <v/>
      </c>
      <c r="E5" s="37">
        <f>SUMIFS(qPL_Fact!$D:$D,qPL_Fact!$C:$C,$B5,qPL_Fact!$A:$A,E$3)</f>
        <v/>
      </c>
      <c r="F5" s="37">
        <f>SUMIFS(qPL_Fact!$D:$D,qPL_Fact!$C:$C,$B5,qPL_Fact!$A:$A,F$3)</f>
        <v/>
      </c>
      <c r="G5" s="37">
        <f>SUMIFS(qPL_Fact!$D:$D,qPL_Fact!$C:$C,$B5,qPL_Fact!$A:$A,G$3)</f>
        <v/>
      </c>
      <c r="H5" s="37">
        <f>SUMIFS(qPL_Fact!$D:$D,qPL_Fact!$C:$C,$B5,qPL_Fact!$A:$A,H$3)</f>
        <v/>
      </c>
      <c r="I5" s="37">
        <f>SUMIFS(qPL_Fact!$D:$D,qPL_Fact!$C:$C,$B5,qPL_Fact!$A:$A,I$3)</f>
        <v/>
      </c>
      <c r="J5" s="37">
        <f>SUMIFS(qPL_Fact!$D:$D,qPL_Fact!$C:$C,$B5,qPL_Fact!$A:$A,J$3)</f>
        <v/>
      </c>
      <c r="K5" s="37">
        <f>SUMIFS(qPL_Fact!$D:$D,qPL_Fact!$C:$C,$B5,qPL_Fact!$A:$A,K$3)</f>
        <v/>
      </c>
      <c r="L5" s="37">
        <f>SUMIFS(qPL_Fact!$D:$D,qPL_Fact!$C:$C,$B5,qPL_Fact!$A:$A,L$3)</f>
        <v/>
      </c>
      <c r="M5" s="37">
        <f>SUMIFS(qPL_Fact!$D:$D,qPL_Fact!$C:$C,$B5,qPL_Fact!$A:$A,M$3)</f>
        <v/>
      </c>
      <c r="N5" s="37">
        <f>SUMIFS(qPL_Fact!$D:$D,qPL_Fact!$C:$C,$B5,qPL_Fact!$A:$A,N$3)</f>
        <v/>
      </c>
      <c r="O5" s="37">
        <f>SUMIFS(qPL_Fact!$D:$D,qPL_Fact!$C:$C,$B5,qPL_Fact!$A:$A,O$3)</f>
        <v/>
      </c>
      <c r="P5" s="37">
        <f>SUMIFS(qPL_Fact!$D:$D,qPL_Fact!$C:$C,$B5,qPL_Fact!$A:$A,P$3)</f>
        <v/>
      </c>
      <c r="Q5" s="37">
        <f>SUMIFS(qPL_Fact!$D:$D,qPL_Fact!$C:$C,$B5,qPL_Fact!$A:$A,Q$3)</f>
        <v/>
      </c>
      <c r="R5" s="37">
        <f>SUMIFS(qPL_Fact!$D:$D,qPL_Fact!$C:$C,$B5,qPL_Fact!$A:$A,R$3)</f>
        <v/>
      </c>
      <c r="S5" s="37">
        <f>SUMIFS(qPL_Fact!$D:$D,qPL_Fact!$C:$C,$B5,qPL_Fact!$A:$A,S$3)</f>
        <v/>
      </c>
      <c r="T5" s="37">
        <f>SUMIFS(qPL_Fact!$D:$D,qPL_Fact!$C:$C,$B5,qPL_Fact!$A:$A,T$3)</f>
        <v/>
      </c>
    </row>
    <row r="6">
      <c r="A6" s="11" t="inlineStr">
        <is>
          <t>4100</t>
        </is>
      </c>
      <c r="B6" s="12" t="inlineStr">
        <is>
          <t>Loss/Gain to Market</t>
        </is>
      </c>
      <c r="C6" s="38">
        <f>SUM(I6:T6)</f>
        <v/>
      </c>
      <c r="D6" s="38">
        <f>SUMIFS(qPL_Fact!$D:$D,qPL_Fact!$C:$C,$B6,qPL_Fact!$A:$A,D$3)</f>
        <v/>
      </c>
      <c r="E6" s="38">
        <f>SUMIFS(qPL_Fact!$D:$D,qPL_Fact!$C:$C,$B6,qPL_Fact!$A:$A,E$3)</f>
        <v/>
      </c>
      <c r="F6" s="38">
        <f>SUMIFS(qPL_Fact!$D:$D,qPL_Fact!$C:$C,$B6,qPL_Fact!$A:$A,F$3)</f>
        <v/>
      </c>
      <c r="G6" s="38">
        <f>SUMIFS(qPL_Fact!$D:$D,qPL_Fact!$C:$C,$B6,qPL_Fact!$A:$A,G$3)</f>
        <v/>
      </c>
      <c r="H6" s="38">
        <f>SUMIFS(qPL_Fact!$D:$D,qPL_Fact!$C:$C,$B6,qPL_Fact!$A:$A,H$3)</f>
        <v/>
      </c>
      <c r="I6" s="38">
        <f>SUMIFS(qPL_Fact!$D:$D,qPL_Fact!$C:$C,$B6,qPL_Fact!$A:$A,I$3)</f>
        <v/>
      </c>
      <c r="J6" s="38">
        <f>SUMIFS(qPL_Fact!$D:$D,qPL_Fact!$C:$C,$B6,qPL_Fact!$A:$A,J$3)</f>
        <v/>
      </c>
      <c r="K6" s="38">
        <f>SUMIFS(qPL_Fact!$D:$D,qPL_Fact!$C:$C,$B6,qPL_Fact!$A:$A,K$3)</f>
        <v/>
      </c>
      <c r="L6" s="38">
        <f>SUMIFS(qPL_Fact!$D:$D,qPL_Fact!$C:$C,$B6,qPL_Fact!$A:$A,L$3)</f>
        <v/>
      </c>
      <c r="M6" s="38">
        <f>SUMIFS(qPL_Fact!$D:$D,qPL_Fact!$C:$C,$B6,qPL_Fact!$A:$A,M$3)</f>
        <v/>
      </c>
      <c r="N6" s="38">
        <f>SUMIFS(qPL_Fact!$D:$D,qPL_Fact!$C:$C,$B6,qPL_Fact!$A:$A,N$3)</f>
        <v/>
      </c>
      <c r="O6" s="38">
        <f>SUMIFS(qPL_Fact!$D:$D,qPL_Fact!$C:$C,$B6,qPL_Fact!$A:$A,O$3)</f>
        <v/>
      </c>
      <c r="P6" s="38">
        <f>SUMIFS(qPL_Fact!$D:$D,qPL_Fact!$C:$C,$B6,qPL_Fact!$A:$A,P$3)</f>
        <v/>
      </c>
      <c r="Q6" s="38">
        <f>SUMIFS(qPL_Fact!$D:$D,qPL_Fact!$C:$C,$B6,qPL_Fact!$A:$A,Q$3)</f>
        <v/>
      </c>
      <c r="R6" s="38">
        <f>SUMIFS(qPL_Fact!$D:$D,qPL_Fact!$C:$C,$B6,qPL_Fact!$A:$A,R$3)</f>
        <v/>
      </c>
      <c r="S6" s="38">
        <f>SUMIFS(qPL_Fact!$D:$D,qPL_Fact!$C:$C,$B6,qPL_Fact!$A:$A,S$3)</f>
        <v/>
      </c>
      <c r="T6" s="38">
        <f>SUMIFS(qPL_Fact!$D:$D,qPL_Fact!$C:$C,$B6,qPL_Fact!$A:$A,T$3)</f>
        <v/>
      </c>
    </row>
    <row r="7">
      <c r="A7" s="8" t="inlineStr">
        <is>
          <t>4100</t>
        </is>
      </c>
      <c r="B7" s="10" t="inlineStr">
        <is>
          <t>Delinquency</t>
        </is>
      </c>
      <c r="C7" s="37">
        <f>SUM(I7:T7)</f>
        <v/>
      </c>
      <c r="D7" s="37">
        <f>SUMIFS(qPL_Fact!$D:$D,qPL_Fact!$C:$C,$B7,qPL_Fact!$A:$A,D$3)</f>
        <v/>
      </c>
      <c r="E7" s="37">
        <f>SUMIFS(qPL_Fact!$D:$D,qPL_Fact!$C:$C,$B7,qPL_Fact!$A:$A,E$3)</f>
        <v/>
      </c>
      <c r="F7" s="37">
        <f>SUMIFS(qPL_Fact!$D:$D,qPL_Fact!$C:$C,$B7,qPL_Fact!$A:$A,F$3)</f>
        <v/>
      </c>
      <c r="G7" s="37">
        <f>SUMIFS(qPL_Fact!$D:$D,qPL_Fact!$C:$C,$B7,qPL_Fact!$A:$A,G$3)</f>
        <v/>
      </c>
      <c r="H7" s="37">
        <f>SUMIFS(qPL_Fact!$D:$D,qPL_Fact!$C:$C,$B7,qPL_Fact!$A:$A,H$3)</f>
        <v/>
      </c>
      <c r="I7" s="37">
        <f>SUMIFS(qPL_Fact!$D:$D,qPL_Fact!$C:$C,$B7,qPL_Fact!$A:$A,I$3)</f>
        <v/>
      </c>
      <c r="J7" s="37">
        <f>SUMIFS(qPL_Fact!$D:$D,qPL_Fact!$C:$C,$B7,qPL_Fact!$A:$A,J$3)</f>
        <v/>
      </c>
      <c r="K7" s="37">
        <f>SUMIFS(qPL_Fact!$D:$D,qPL_Fact!$C:$C,$B7,qPL_Fact!$A:$A,K$3)</f>
        <v/>
      </c>
      <c r="L7" s="37">
        <f>SUMIFS(qPL_Fact!$D:$D,qPL_Fact!$C:$C,$B7,qPL_Fact!$A:$A,L$3)</f>
        <v/>
      </c>
      <c r="M7" s="37">
        <f>SUMIFS(qPL_Fact!$D:$D,qPL_Fact!$C:$C,$B7,qPL_Fact!$A:$A,M$3)</f>
        <v/>
      </c>
      <c r="N7" s="37">
        <f>SUMIFS(qPL_Fact!$D:$D,qPL_Fact!$C:$C,$B7,qPL_Fact!$A:$A,N$3)</f>
        <v/>
      </c>
      <c r="O7" s="37">
        <f>SUMIFS(qPL_Fact!$D:$D,qPL_Fact!$C:$C,$B7,qPL_Fact!$A:$A,O$3)</f>
        <v/>
      </c>
      <c r="P7" s="37">
        <f>SUMIFS(qPL_Fact!$D:$D,qPL_Fact!$C:$C,$B7,qPL_Fact!$A:$A,P$3)</f>
        <v/>
      </c>
      <c r="Q7" s="37">
        <f>SUMIFS(qPL_Fact!$D:$D,qPL_Fact!$C:$C,$B7,qPL_Fact!$A:$A,Q$3)</f>
        <v/>
      </c>
      <c r="R7" s="37">
        <f>SUMIFS(qPL_Fact!$D:$D,qPL_Fact!$C:$C,$B7,qPL_Fact!$A:$A,R$3)</f>
        <v/>
      </c>
      <c r="S7" s="37">
        <f>SUMIFS(qPL_Fact!$D:$D,qPL_Fact!$C:$C,$B7,qPL_Fact!$A:$A,S$3)</f>
        <v/>
      </c>
      <c r="T7" s="37">
        <f>SUMIFS(qPL_Fact!$D:$D,qPL_Fact!$C:$C,$B7,qPL_Fact!$A:$A,T$3)</f>
        <v/>
      </c>
    </row>
    <row r="8">
      <c r="A8" s="11" t="inlineStr">
        <is>
          <t>4100</t>
        </is>
      </c>
      <c r="B8" s="12" t="inlineStr">
        <is>
          <t>Vacancy</t>
        </is>
      </c>
      <c r="C8" s="38">
        <f>SUM(I8:T8)</f>
        <v/>
      </c>
      <c r="D8" s="38">
        <f>SUMIFS(qPL_Fact!$D:$D,qPL_Fact!$C:$C,$B8,qPL_Fact!$A:$A,D$3)</f>
        <v/>
      </c>
      <c r="E8" s="38">
        <f>SUMIFS(qPL_Fact!$D:$D,qPL_Fact!$C:$C,$B8,qPL_Fact!$A:$A,E$3)</f>
        <v/>
      </c>
      <c r="F8" s="38">
        <f>SUMIFS(qPL_Fact!$D:$D,qPL_Fact!$C:$C,$B8,qPL_Fact!$A:$A,F$3)</f>
        <v/>
      </c>
      <c r="G8" s="38">
        <f>SUMIFS(qPL_Fact!$D:$D,qPL_Fact!$C:$C,$B8,qPL_Fact!$A:$A,G$3)</f>
        <v/>
      </c>
      <c r="H8" s="38">
        <f>SUMIFS(qPL_Fact!$D:$D,qPL_Fact!$C:$C,$B8,qPL_Fact!$A:$A,H$3)</f>
        <v/>
      </c>
      <c r="I8" s="38">
        <f>SUMIFS(qPL_Fact!$D:$D,qPL_Fact!$C:$C,$B8,qPL_Fact!$A:$A,I$3)</f>
        <v/>
      </c>
      <c r="J8" s="38">
        <f>SUMIFS(qPL_Fact!$D:$D,qPL_Fact!$C:$C,$B8,qPL_Fact!$A:$A,J$3)</f>
        <v/>
      </c>
      <c r="K8" s="38">
        <f>SUMIFS(qPL_Fact!$D:$D,qPL_Fact!$C:$C,$B8,qPL_Fact!$A:$A,K$3)</f>
        <v/>
      </c>
      <c r="L8" s="38">
        <f>SUMIFS(qPL_Fact!$D:$D,qPL_Fact!$C:$C,$B8,qPL_Fact!$A:$A,L$3)</f>
        <v/>
      </c>
      <c r="M8" s="38">
        <f>SUMIFS(qPL_Fact!$D:$D,qPL_Fact!$C:$C,$B8,qPL_Fact!$A:$A,M$3)</f>
        <v/>
      </c>
      <c r="N8" s="38">
        <f>SUMIFS(qPL_Fact!$D:$D,qPL_Fact!$C:$C,$B8,qPL_Fact!$A:$A,N$3)</f>
        <v/>
      </c>
      <c r="O8" s="38">
        <f>SUMIFS(qPL_Fact!$D:$D,qPL_Fact!$C:$C,$B8,qPL_Fact!$A:$A,O$3)</f>
        <v/>
      </c>
      <c r="P8" s="38">
        <f>SUMIFS(qPL_Fact!$D:$D,qPL_Fact!$C:$C,$B8,qPL_Fact!$A:$A,P$3)</f>
        <v/>
      </c>
      <c r="Q8" s="38">
        <f>SUMIFS(qPL_Fact!$D:$D,qPL_Fact!$C:$C,$B8,qPL_Fact!$A:$A,Q$3)</f>
        <v/>
      </c>
      <c r="R8" s="38">
        <f>SUMIFS(qPL_Fact!$D:$D,qPL_Fact!$C:$C,$B8,qPL_Fact!$A:$A,R$3)</f>
        <v/>
      </c>
      <c r="S8" s="38">
        <f>SUMIFS(qPL_Fact!$D:$D,qPL_Fact!$C:$C,$B8,qPL_Fact!$A:$A,S$3)</f>
        <v/>
      </c>
      <c r="T8" s="38">
        <f>SUMIFS(qPL_Fact!$D:$D,qPL_Fact!$C:$C,$B8,qPL_Fact!$A:$A,T$3)</f>
        <v/>
      </c>
    </row>
    <row r="9">
      <c r="A9" s="23" t="n"/>
      <c r="B9" s="10" t="inlineStr">
        <is>
          <t>Concessions</t>
        </is>
      </c>
      <c r="C9" s="37">
        <f>SUM(I9:T9)</f>
        <v/>
      </c>
      <c r="D9" s="37">
        <f>SUMIFS(qPL_Fact!$D:$D,qPL_Fact!$C:$C,$B9,qPL_Fact!$A:$A,D$3)</f>
        <v/>
      </c>
      <c r="E9" s="37">
        <f>SUMIFS(qPL_Fact!$D:$D,qPL_Fact!$C:$C,$B9,qPL_Fact!$A:$A,E$3)</f>
        <v/>
      </c>
      <c r="F9" s="37">
        <f>SUMIFS(qPL_Fact!$D:$D,qPL_Fact!$C:$C,$B9,qPL_Fact!$A:$A,F$3)</f>
        <v/>
      </c>
      <c r="G9" s="37">
        <f>SUMIFS(qPL_Fact!$D:$D,qPL_Fact!$C:$C,$B9,qPL_Fact!$A:$A,G$3)</f>
        <v/>
      </c>
      <c r="H9" s="37">
        <f>SUMIFS(qPL_Fact!$D:$D,qPL_Fact!$C:$C,$B9,qPL_Fact!$A:$A,H$3)</f>
        <v/>
      </c>
      <c r="I9" s="37">
        <f>SUMIFS(qPL_Fact!$D:$D,qPL_Fact!$C:$C,$B9,qPL_Fact!$A:$A,I$3)</f>
        <v/>
      </c>
      <c r="J9" s="37">
        <f>SUMIFS(qPL_Fact!$D:$D,qPL_Fact!$C:$C,$B9,qPL_Fact!$A:$A,J$3)</f>
        <v/>
      </c>
      <c r="K9" s="37">
        <f>SUMIFS(qPL_Fact!$D:$D,qPL_Fact!$C:$C,$B9,qPL_Fact!$A:$A,K$3)</f>
        <v/>
      </c>
      <c r="L9" s="37">
        <f>SUMIFS(qPL_Fact!$D:$D,qPL_Fact!$C:$C,$B9,qPL_Fact!$A:$A,L$3)</f>
        <v/>
      </c>
      <c r="M9" s="37">
        <f>SUMIFS(qPL_Fact!$D:$D,qPL_Fact!$C:$C,$B9,qPL_Fact!$A:$A,M$3)</f>
        <v/>
      </c>
      <c r="N9" s="37">
        <f>SUMIFS(qPL_Fact!$D:$D,qPL_Fact!$C:$C,$B9,qPL_Fact!$A:$A,N$3)</f>
        <v/>
      </c>
      <c r="O9" s="37">
        <f>SUMIFS(qPL_Fact!$D:$D,qPL_Fact!$C:$C,$B9,qPL_Fact!$A:$A,O$3)</f>
        <v/>
      </c>
      <c r="P9" s="37">
        <f>SUMIFS(qPL_Fact!$D:$D,qPL_Fact!$C:$C,$B9,qPL_Fact!$A:$A,P$3)</f>
        <v/>
      </c>
      <c r="Q9" s="37">
        <f>SUMIFS(qPL_Fact!$D:$D,qPL_Fact!$C:$C,$B9,qPL_Fact!$A:$A,Q$3)</f>
        <v/>
      </c>
      <c r="R9" s="37">
        <f>SUMIFS(qPL_Fact!$D:$D,qPL_Fact!$C:$C,$B9,qPL_Fact!$A:$A,R$3)</f>
        <v/>
      </c>
      <c r="S9" s="37">
        <f>SUMIFS(qPL_Fact!$D:$D,qPL_Fact!$C:$C,$B9,qPL_Fact!$A:$A,S$3)</f>
        <v/>
      </c>
      <c r="T9" s="37">
        <f>SUMIFS(qPL_Fact!$D:$D,qPL_Fact!$C:$C,$B9,qPL_Fact!$A:$A,T$3)</f>
        <v/>
      </c>
    </row>
    <row r="10">
      <c r="A10" s="11" t="inlineStr">
        <is>
          <t>4700</t>
        </is>
      </c>
      <c r="B10" s="12" t="inlineStr">
        <is>
          <t>Other Rent Adjustments</t>
        </is>
      </c>
      <c r="C10" s="38">
        <f>SUM(I10:T10)</f>
        <v/>
      </c>
      <c r="D10" s="38">
        <f>SUMIFS(qPL_Fact!$D:$D,qPL_Fact!$C:$C,$B10,qPL_Fact!$A:$A,D$3)</f>
        <v/>
      </c>
      <c r="E10" s="38">
        <f>SUMIFS(qPL_Fact!$D:$D,qPL_Fact!$C:$C,$B10,qPL_Fact!$A:$A,E$3)</f>
        <v/>
      </c>
      <c r="F10" s="38">
        <f>SUMIFS(qPL_Fact!$D:$D,qPL_Fact!$C:$C,$B10,qPL_Fact!$A:$A,F$3)</f>
        <v/>
      </c>
      <c r="G10" s="38">
        <f>SUMIFS(qPL_Fact!$D:$D,qPL_Fact!$C:$C,$B10,qPL_Fact!$A:$A,G$3)</f>
        <v/>
      </c>
      <c r="H10" s="38">
        <f>SUMIFS(qPL_Fact!$D:$D,qPL_Fact!$C:$C,$B10,qPL_Fact!$A:$A,H$3)</f>
        <v/>
      </c>
      <c r="I10" s="38">
        <f>SUMIFS(qPL_Fact!$D:$D,qPL_Fact!$C:$C,$B10,qPL_Fact!$A:$A,I$3)</f>
        <v/>
      </c>
      <c r="J10" s="38">
        <f>SUMIFS(qPL_Fact!$D:$D,qPL_Fact!$C:$C,$B10,qPL_Fact!$A:$A,J$3)</f>
        <v/>
      </c>
      <c r="K10" s="38">
        <f>SUMIFS(qPL_Fact!$D:$D,qPL_Fact!$C:$C,$B10,qPL_Fact!$A:$A,K$3)</f>
        <v/>
      </c>
      <c r="L10" s="38">
        <f>SUMIFS(qPL_Fact!$D:$D,qPL_Fact!$C:$C,$B10,qPL_Fact!$A:$A,L$3)</f>
        <v/>
      </c>
      <c r="M10" s="38">
        <f>SUMIFS(qPL_Fact!$D:$D,qPL_Fact!$C:$C,$B10,qPL_Fact!$A:$A,M$3)</f>
        <v/>
      </c>
      <c r="N10" s="38">
        <f>SUMIFS(qPL_Fact!$D:$D,qPL_Fact!$C:$C,$B10,qPL_Fact!$A:$A,N$3)</f>
        <v/>
      </c>
      <c r="O10" s="38">
        <f>SUMIFS(qPL_Fact!$D:$D,qPL_Fact!$C:$C,$B10,qPL_Fact!$A:$A,O$3)</f>
        <v/>
      </c>
      <c r="P10" s="38">
        <f>SUMIFS(qPL_Fact!$D:$D,qPL_Fact!$C:$C,$B10,qPL_Fact!$A:$A,P$3)</f>
        <v/>
      </c>
      <c r="Q10" s="38">
        <f>SUMIFS(qPL_Fact!$D:$D,qPL_Fact!$C:$C,$B10,qPL_Fact!$A:$A,Q$3)</f>
        <v/>
      </c>
      <c r="R10" s="38">
        <f>SUMIFS(qPL_Fact!$D:$D,qPL_Fact!$C:$C,$B10,qPL_Fact!$A:$A,R$3)</f>
        <v/>
      </c>
      <c r="S10" s="38">
        <f>SUMIFS(qPL_Fact!$D:$D,qPL_Fact!$C:$C,$B10,qPL_Fact!$A:$A,S$3)</f>
        <v/>
      </c>
      <c r="T10" s="38">
        <f>SUMIFS(qPL_Fact!$D:$D,qPL_Fact!$C:$C,$B10,qPL_Fact!$A:$A,T$3)</f>
        <v/>
      </c>
    </row>
    <row r="11">
      <c r="A11" s="39" t="n"/>
      <c r="B11" s="40" t="inlineStr">
        <is>
          <t>Effective Rental Income</t>
        </is>
      </c>
      <c r="C11" s="41">
        <f>SUM(I11:T11)</f>
        <v/>
      </c>
      <c r="D11" s="41">
        <f>SUMIFS(qPL_Fact!$D:$D,qPL_Fact!$C:$C,$B11,qPL_Fact!$A:$A,D$3)</f>
        <v/>
      </c>
      <c r="E11" s="41">
        <f>SUMIFS(qPL_Fact!$D:$D,qPL_Fact!$C:$C,$B11,qPL_Fact!$A:$A,E$3)</f>
        <v/>
      </c>
      <c r="F11" s="41">
        <f>SUMIFS(qPL_Fact!$D:$D,qPL_Fact!$C:$C,$B11,qPL_Fact!$A:$A,F$3)</f>
        <v/>
      </c>
      <c r="G11" s="41">
        <f>SUMIFS(qPL_Fact!$D:$D,qPL_Fact!$C:$C,$B11,qPL_Fact!$A:$A,G$3)</f>
        <v/>
      </c>
      <c r="H11" s="41">
        <f>SUMIFS(qPL_Fact!$D:$D,qPL_Fact!$C:$C,$B11,qPL_Fact!$A:$A,H$3)</f>
        <v/>
      </c>
      <c r="I11" s="41">
        <f>SUMIFS(qPL_Fact!$D:$D,qPL_Fact!$C:$C,$B11,qPL_Fact!$A:$A,I$3)</f>
        <v/>
      </c>
      <c r="J11" s="41">
        <f>SUMIFS(qPL_Fact!$D:$D,qPL_Fact!$C:$C,$B11,qPL_Fact!$A:$A,J$3)</f>
        <v/>
      </c>
      <c r="K11" s="41">
        <f>SUMIFS(qPL_Fact!$D:$D,qPL_Fact!$C:$C,$B11,qPL_Fact!$A:$A,K$3)</f>
        <v/>
      </c>
      <c r="L11" s="41">
        <f>SUMIFS(qPL_Fact!$D:$D,qPL_Fact!$C:$C,$B11,qPL_Fact!$A:$A,L$3)</f>
        <v/>
      </c>
      <c r="M11" s="41">
        <f>SUMIFS(qPL_Fact!$D:$D,qPL_Fact!$C:$C,$B11,qPL_Fact!$A:$A,M$3)</f>
        <v/>
      </c>
      <c r="N11" s="41">
        <f>SUMIFS(qPL_Fact!$D:$D,qPL_Fact!$C:$C,$B11,qPL_Fact!$A:$A,N$3)</f>
        <v/>
      </c>
      <c r="O11" s="41">
        <f>SUMIFS(qPL_Fact!$D:$D,qPL_Fact!$C:$C,$B11,qPL_Fact!$A:$A,O$3)</f>
        <v/>
      </c>
      <c r="P11" s="41">
        <f>SUMIFS(qPL_Fact!$D:$D,qPL_Fact!$C:$C,$B11,qPL_Fact!$A:$A,P$3)</f>
        <v/>
      </c>
      <c r="Q11" s="41">
        <f>SUMIFS(qPL_Fact!$D:$D,qPL_Fact!$C:$C,$B11,qPL_Fact!$A:$A,Q$3)</f>
        <v/>
      </c>
      <c r="R11" s="41">
        <f>SUMIFS(qPL_Fact!$D:$D,qPL_Fact!$C:$C,$B11,qPL_Fact!$A:$A,R$3)</f>
        <v/>
      </c>
      <c r="S11" s="41">
        <f>SUMIFS(qPL_Fact!$D:$D,qPL_Fact!$C:$C,$B11,qPL_Fact!$A:$A,S$3)</f>
        <v/>
      </c>
      <c r="T11" s="41">
        <f>SUMIFS(qPL_Fact!$D:$D,qPL_Fact!$C:$C,$B11,qPL_Fact!$A:$A,T$3)</f>
        <v/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20" customHeight="1">
      <c r="A13" s="6" t="n"/>
      <c r="B13" s="6" t="inlineStr">
        <is>
          <t>OTHER INCOME</t>
        </is>
      </c>
      <c r="C13" s="36">
        <f>SUM(I13:T13)</f>
        <v/>
      </c>
      <c r="D13" s="36">
        <f>SUMIFS(qPL_Fact!$D:$D,qPL_Fact!$C:$C,$B13,qPL_Fact!$A:$A,D$3)</f>
        <v/>
      </c>
      <c r="E13" s="36">
        <f>SUMIFS(qPL_Fact!$D:$D,qPL_Fact!$C:$C,$B13,qPL_Fact!$A:$A,E$3)</f>
        <v/>
      </c>
      <c r="F13" s="36">
        <f>SUMIFS(qPL_Fact!$D:$D,qPL_Fact!$C:$C,$B13,qPL_Fact!$A:$A,F$3)</f>
        <v/>
      </c>
      <c r="G13" s="36">
        <f>SUMIFS(qPL_Fact!$D:$D,qPL_Fact!$C:$C,$B13,qPL_Fact!$A:$A,G$3)</f>
        <v/>
      </c>
      <c r="H13" s="36">
        <f>SUMIFS(qPL_Fact!$D:$D,qPL_Fact!$C:$C,$B13,qPL_Fact!$A:$A,H$3)</f>
        <v/>
      </c>
      <c r="I13" s="36">
        <f>SUMIFS(qPL_Fact!$D:$D,qPL_Fact!$C:$C,$B13,qPL_Fact!$A:$A,I$3)</f>
        <v/>
      </c>
      <c r="J13" s="36">
        <f>SUMIFS(qPL_Fact!$D:$D,qPL_Fact!$C:$C,$B13,qPL_Fact!$A:$A,J$3)</f>
        <v/>
      </c>
      <c r="K13" s="36">
        <f>SUMIFS(qPL_Fact!$D:$D,qPL_Fact!$C:$C,$B13,qPL_Fact!$A:$A,K$3)</f>
        <v/>
      </c>
      <c r="L13" s="36">
        <f>SUMIFS(qPL_Fact!$D:$D,qPL_Fact!$C:$C,$B13,qPL_Fact!$A:$A,L$3)</f>
        <v/>
      </c>
      <c r="M13" s="36">
        <f>SUMIFS(qPL_Fact!$D:$D,qPL_Fact!$C:$C,$B13,qPL_Fact!$A:$A,M$3)</f>
        <v/>
      </c>
      <c r="N13" s="36">
        <f>SUMIFS(qPL_Fact!$D:$D,qPL_Fact!$C:$C,$B13,qPL_Fact!$A:$A,N$3)</f>
        <v/>
      </c>
      <c r="O13" s="36">
        <f>SUMIFS(qPL_Fact!$D:$D,qPL_Fact!$C:$C,$B13,qPL_Fact!$A:$A,O$3)</f>
        <v/>
      </c>
      <c r="P13" s="36">
        <f>SUMIFS(qPL_Fact!$D:$D,qPL_Fact!$C:$C,$B13,qPL_Fact!$A:$A,P$3)</f>
        <v/>
      </c>
      <c r="Q13" s="36">
        <f>SUMIFS(qPL_Fact!$D:$D,qPL_Fact!$C:$C,$B13,qPL_Fact!$A:$A,Q$3)</f>
        <v/>
      </c>
      <c r="R13" s="36">
        <f>SUMIFS(qPL_Fact!$D:$D,qPL_Fact!$C:$C,$B13,qPL_Fact!$A:$A,R$3)</f>
        <v/>
      </c>
      <c r="S13" s="36">
        <f>SUMIFS(qPL_Fact!$D:$D,qPL_Fact!$C:$C,$B13,qPL_Fact!$A:$A,S$3)</f>
        <v/>
      </c>
      <c r="T13" s="36">
        <f>SUMIFS(qPL_Fact!$D:$D,qPL_Fact!$C:$C,$B13,qPL_Fact!$A:$A,T$3)</f>
        <v/>
      </c>
    </row>
    <row r="14">
      <c r="A14" s="11" t="inlineStr">
        <is>
          <t>4460</t>
        </is>
      </c>
      <c r="B14" s="12" t="inlineStr">
        <is>
          <t>Late Fees</t>
        </is>
      </c>
      <c r="C14" s="38">
        <f>SUM(I14:T14)</f>
        <v/>
      </c>
      <c r="D14" s="38">
        <f>SUMIFS(qPL_Fact!$D:$D,qPL_Fact!$C:$C,$B14,qPL_Fact!$A:$A,D$3)</f>
        <v/>
      </c>
      <c r="E14" s="38">
        <f>SUMIFS(qPL_Fact!$D:$D,qPL_Fact!$C:$C,$B14,qPL_Fact!$A:$A,E$3)</f>
        <v/>
      </c>
      <c r="F14" s="38">
        <f>SUMIFS(qPL_Fact!$D:$D,qPL_Fact!$C:$C,$B14,qPL_Fact!$A:$A,F$3)</f>
        <v/>
      </c>
      <c r="G14" s="38">
        <f>SUMIFS(qPL_Fact!$D:$D,qPL_Fact!$C:$C,$B14,qPL_Fact!$A:$A,G$3)</f>
        <v/>
      </c>
      <c r="H14" s="38">
        <f>SUMIFS(qPL_Fact!$D:$D,qPL_Fact!$C:$C,$B14,qPL_Fact!$A:$A,H$3)</f>
        <v/>
      </c>
      <c r="I14" s="38">
        <f>SUMIFS(qPL_Fact!$D:$D,qPL_Fact!$C:$C,$B14,qPL_Fact!$A:$A,I$3)</f>
        <v/>
      </c>
      <c r="J14" s="38">
        <f>SUMIFS(qPL_Fact!$D:$D,qPL_Fact!$C:$C,$B14,qPL_Fact!$A:$A,J$3)</f>
        <v/>
      </c>
      <c r="K14" s="38">
        <f>SUMIFS(qPL_Fact!$D:$D,qPL_Fact!$C:$C,$B14,qPL_Fact!$A:$A,K$3)</f>
        <v/>
      </c>
      <c r="L14" s="38">
        <f>SUMIFS(qPL_Fact!$D:$D,qPL_Fact!$C:$C,$B14,qPL_Fact!$A:$A,L$3)</f>
        <v/>
      </c>
      <c r="M14" s="38">
        <f>SUMIFS(qPL_Fact!$D:$D,qPL_Fact!$C:$C,$B14,qPL_Fact!$A:$A,M$3)</f>
        <v/>
      </c>
      <c r="N14" s="38">
        <f>SUMIFS(qPL_Fact!$D:$D,qPL_Fact!$C:$C,$B14,qPL_Fact!$A:$A,N$3)</f>
        <v/>
      </c>
      <c r="O14" s="38">
        <f>SUMIFS(qPL_Fact!$D:$D,qPL_Fact!$C:$C,$B14,qPL_Fact!$A:$A,O$3)</f>
        <v/>
      </c>
      <c r="P14" s="38">
        <f>SUMIFS(qPL_Fact!$D:$D,qPL_Fact!$C:$C,$B14,qPL_Fact!$A:$A,P$3)</f>
        <v/>
      </c>
      <c r="Q14" s="38">
        <f>SUMIFS(qPL_Fact!$D:$D,qPL_Fact!$C:$C,$B14,qPL_Fact!$A:$A,Q$3)</f>
        <v/>
      </c>
      <c r="R14" s="38">
        <f>SUMIFS(qPL_Fact!$D:$D,qPL_Fact!$C:$C,$B14,qPL_Fact!$A:$A,R$3)</f>
        <v/>
      </c>
      <c r="S14" s="38">
        <f>SUMIFS(qPL_Fact!$D:$D,qPL_Fact!$C:$C,$B14,qPL_Fact!$A:$A,S$3)</f>
        <v/>
      </c>
      <c r="T14" s="38">
        <f>SUMIFS(qPL_Fact!$D:$D,qPL_Fact!$C:$C,$B14,qPL_Fact!$A:$A,T$3)</f>
        <v/>
      </c>
    </row>
    <row r="15">
      <c r="A15" s="8" t="inlineStr">
        <is>
          <t>4490</t>
        </is>
      </c>
      <c r="B15" s="10" t="inlineStr">
        <is>
          <t>Move-In Fees</t>
        </is>
      </c>
      <c r="C15" s="37">
        <f>SUM(I15:T15)</f>
        <v/>
      </c>
      <c r="D15" s="37">
        <f>SUMIFS(qPL_Fact!$D:$D,qPL_Fact!$C:$C,$B15,qPL_Fact!$A:$A,D$3)</f>
        <v/>
      </c>
      <c r="E15" s="37">
        <f>SUMIFS(qPL_Fact!$D:$D,qPL_Fact!$C:$C,$B15,qPL_Fact!$A:$A,E$3)</f>
        <v/>
      </c>
      <c r="F15" s="37">
        <f>SUMIFS(qPL_Fact!$D:$D,qPL_Fact!$C:$C,$B15,qPL_Fact!$A:$A,F$3)</f>
        <v/>
      </c>
      <c r="G15" s="37">
        <f>SUMIFS(qPL_Fact!$D:$D,qPL_Fact!$C:$C,$B15,qPL_Fact!$A:$A,G$3)</f>
        <v/>
      </c>
      <c r="H15" s="37">
        <f>SUMIFS(qPL_Fact!$D:$D,qPL_Fact!$C:$C,$B15,qPL_Fact!$A:$A,H$3)</f>
        <v/>
      </c>
      <c r="I15" s="37">
        <f>SUMIFS(qPL_Fact!$D:$D,qPL_Fact!$C:$C,$B15,qPL_Fact!$A:$A,I$3)</f>
        <v/>
      </c>
      <c r="J15" s="37">
        <f>SUMIFS(qPL_Fact!$D:$D,qPL_Fact!$C:$C,$B15,qPL_Fact!$A:$A,J$3)</f>
        <v/>
      </c>
      <c r="K15" s="37">
        <f>SUMIFS(qPL_Fact!$D:$D,qPL_Fact!$C:$C,$B15,qPL_Fact!$A:$A,K$3)</f>
        <v/>
      </c>
      <c r="L15" s="37">
        <f>SUMIFS(qPL_Fact!$D:$D,qPL_Fact!$C:$C,$B15,qPL_Fact!$A:$A,L$3)</f>
        <v/>
      </c>
      <c r="M15" s="37">
        <f>SUMIFS(qPL_Fact!$D:$D,qPL_Fact!$C:$C,$B15,qPL_Fact!$A:$A,M$3)</f>
        <v/>
      </c>
      <c r="N15" s="37">
        <f>SUMIFS(qPL_Fact!$D:$D,qPL_Fact!$C:$C,$B15,qPL_Fact!$A:$A,N$3)</f>
        <v/>
      </c>
      <c r="O15" s="37">
        <f>SUMIFS(qPL_Fact!$D:$D,qPL_Fact!$C:$C,$B15,qPL_Fact!$A:$A,O$3)</f>
        <v/>
      </c>
      <c r="P15" s="37">
        <f>SUMIFS(qPL_Fact!$D:$D,qPL_Fact!$C:$C,$B15,qPL_Fact!$A:$A,P$3)</f>
        <v/>
      </c>
      <c r="Q15" s="37">
        <f>SUMIFS(qPL_Fact!$D:$D,qPL_Fact!$C:$C,$B15,qPL_Fact!$A:$A,Q$3)</f>
        <v/>
      </c>
      <c r="R15" s="37">
        <f>SUMIFS(qPL_Fact!$D:$D,qPL_Fact!$C:$C,$B15,qPL_Fact!$A:$A,R$3)</f>
        <v/>
      </c>
      <c r="S15" s="37">
        <f>SUMIFS(qPL_Fact!$D:$D,qPL_Fact!$C:$C,$B15,qPL_Fact!$A:$A,S$3)</f>
        <v/>
      </c>
      <c r="T15" s="37">
        <f>SUMIFS(qPL_Fact!$D:$D,qPL_Fact!$C:$C,$B15,qPL_Fact!$A:$A,T$3)</f>
        <v/>
      </c>
    </row>
    <row r="16">
      <c r="A16" s="11" t="inlineStr">
        <is>
          <t>4440</t>
        </is>
      </c>
      <c r="B16" s="12" t="inlineStr">
        <is>
          <t>Application Fees</t>
        </is>
      </c>
      <c r="C16" s="38">
        <f>SUM(I16:T16)</f>
        <v/>
      </c>
      <c r="D16" s="38">
        <f>SUMIFS(qPL_Fact!$D:$D,qPL_Fact!$C:$C,$B16,qPL_Fact!$A:$A,D$3)</f>
        <v/>
      </c>
      <c r="E16" s="38">
        <f>SUMIFS(qPL_Fact!$D:$D,qPL_Fact!$C:$C,$B16,qPL_Fact!$A:$A,E$3)</f>
        <v/>
      </c>
      <c r="F16" s="38">
        <f>SUMIFS(qPL_Fact!$D:$D,qPL_Fact!$C:$C,$B16,qPL_Fact!$A:$A,F$3)</f>
        <v/>
      </c>
      <c r="G16" s="38">
        <f>SUMIFS(qPL_Fact!$D:$D,qPL_Fact!$C:$C,$B16,qPL_Fact!$A:$A,G$3)</f>
        <v/>
      </c>
      <c r="H16" s="38">
        <f>SUMIFS(qPL_Fact!$D:$D,qPL_Fact!$C:$C,$B16,qPL_Fact!$A:$A,H$3)</f>
        <v/>
      </c>
      <c r="I16" s="38">
        <f>SUMIFS(qPL_Fact!$D:$D,qPL_Fact!$C:$C,$B16,qPL_Fact!$A:$A,I$3)</f>
        <v/>
      </c>
      <c r="J16" s="38">
        <f>SUMIFS(qPL_Fact!$D:$D,qPL_Fact!$C:$C,$B16,qPL_Fact!$A:$A,J$3)</f>
        <v/>
      </c>
      <c r="K16" s="38">
        <f>SUMIFS(qPL_Fact!$D:$D,qPL_Fact!$C:$C,$B16,qPL_Fact!$A:$A,K$3)</f>
        <v/>
      </c>
      <c r="L16" s="38">
        <f>SUMIFS(qPL_Fact!$D:$D,qPL_Fact!$C:$C,$B16,qPL_Fact!$A:$A,L$3)</f>
        <v/>
      </c>
      <c r="M16" s="38">
        <f>SUMIFS(qPL_Fact!$D:$D,qPL_Fact!$C:$C,$B16,qPL_Fact!$A:$A,M$3)</f>
        <v/>
      </c>
      <c r="N16" s="38">
        <f>SUMIFS(qPL_Fact!$D:$D,qPL_Fact!$C:$C,$B16,qPL_Fact!$A:$A,N$3)</f>
        <v/>
      </c>
      <c r="O16" s="38">
        <f>SUMIFS(qPL_Fact!$D:$D,qPL_Fact!$C:$C,$B16,qPL_Fact!$A:$A,O$3)</f>
        <v/>
      </c>
      <c r="P16" s="38">
        <f>SUMIFS(qPL_Fact!$D:$D,qPL_Fact!$C:$C,$B16,qPL_Fact!$A:$A,P$3)</f>
        <v/>
      </c>
      <c r="Q16" s="38">
        <f>SUMIFS(qPL_Fact!$D:$D,qPL_Fact!$C:$C,$B16,qPL_Fact!$A:$A,Q$3)</f>
        <v/>
      </c>
      <c r="R16" s="38">
        <f>SUMIFS(qPL_Fact!$D:$D,qPL_Fact!$C:$C,$B16,qPL_Fact!$A:$A,R$3)</f>
        <v/>
      </c>
      <c r="S16" s="38">
        <f>SUMIFS(qPL_Fact!$D:$D,qPL_Fact!$C:$C,$B16,qPL_Fact!$A:$A,S$3)</f>
        <v/>
      </c>
      <c r="T16" s="38">
        <f>SUMIFS(qPL_Fact!$D:$D,qPL_Fact!$C:$C,$B16,qPL_Fact!$A:$A,T$3)</f>
        <v/>
      </c>
    </row>
    <row r="17">
      <c r="A17" s="8" t="inlineStr">
        <is>
          <t>4415</t>
        </is>
      </c>
      <c r="B17" s="10" t="inlineStr">
        <is>
          <t>Internet Charges</t>
        </is>
      </c>
      <c r="C17" s="37">
        <f>SUM(I17:T17)</f>
        <v/>
      </c>
      <c r="D17" s="37">
        <f>SUMIFS(qPL_Fact!$D:$D,qPL_Fact!$C:$C,$B17,qPL_Fact!$A:$A,D$3)</f>
        <v/>
      </c>
      <c r="E17" s="37">
        <f>SUMIFS(qPL_Fact!$D:$D,qPL_Fact!$C:$C,$B17,qPL_Fact!$A:$A,E$3)</f>
        <v/>
      </c>
      <c r="F17" s="37">
        <f>SUMIFS(qPL_Fact!$D:$D,qPL_Fact!$C:$C,$B17,qPL_Fact!$A:$A,F$3)</f>
        <v/>
      </c>
      <c r="G17" s="37">
        <f>SUMIFS(qPL_Fact!$D:$D,qPL_Fact!$C:$C,$B17,qPL_Fact!$A:$A,G$3)</f>
        <v/>
      </c>
      <c r="H17" s="37">
        <f>SUMIFS(qPL_Fact!$D:$D,qPL_Fact!$C:$C,$B17,qPL_Fact!$A:$A,H$3)</f>
        <v/>
      </c>
      <c r="I17" s="37">
        <f>SUMIFS(qPL_Fact!$D:$D,qPL_Fact!$C:$C,$B17,qPL_Fact!$A:$A,I$3)</f>
        <v/>
      </c>
      <c r="J17" s="37">
        <f>SUMIFS(qPL_Fact!$D:$D,qPL_Fact!$C:$C,$B17,qPL_Fact!$A:$A,J$3)</f>
        <v/>
      </c>
      <c r="K17" s="37">
        <f>SUMIFS(qPL_Fact!$D:$D,qPL_Fact!$C:$C,$B17,qPL_Fact!$A:$A,K$3)</f>
        <v/>
      </c>
      <c r="L17" s="37">
        <f>SUMIFS(qPL_Fact!$D:$D,qPL_Fact!$C:$C,$B17,qPL_Fact!$A:$A,L$3)</f>
        <v/>
      </c>
      <c r="M17" s="37">
        <f>SUMIFS(qPL_Fact!$D:$D,qPL_Fact!$C:$C,$B17,qPL_Fact!$A:$A,M$3)</f>
        <v/>
      </c>
      <c r="N17" s="37">
        <f>SUMIFS(qPL_Fact!$D:$D,qPL_Fact!$C:$C,$B17,qPL_Fact!$A:$A,N$3)</f>
        <v/>
      </c>
      <c r="O17" s="37">
        <f>SUMIFS(qPL_Fact!$D:$D,qPL_Fact!$C:$C,$B17,qPL_Fact!$A:$A,O$3)</f>
        <v/>
      </c>
      <c r="P17" s="37">
        <f>SUMIFS(qPL_Fact!$D:$D,qPL_Fact!$C:$C,$B17,qPL_Fact!$A:$A,P$3)</f>
        <v/>
      </c>
      <c r="Q17" s="37">
        <f>SUMIFS(qPL_Fact!$D:$D,qPL_Fact!$C:$C,$B17,qPL_Fact!$A:$A,Q$3)</f>
        <v/>
      </c>
      <c r="R17" s="37">
        <f>SUMIFS(qPL_Fact!$D:$D,qPL_Fact!$C:$C,$B17,qPL_Fact!$A:$A,R$3)</f>
        <v/>
      </c>
      <c r="S17" s="37">
        <f>SUMIFS(qPL_Fact!$D:$D,qPL_Fact!$C:$C,$B17,qPL_Fact!$A:$A,S$3)</f>
        <v/>
      </c>
      <c r="T17" s="37">
        <f>SUMIFS(qPL_Fact!$D:$D,qPL_Fact!$C:$C,$B17,qPL_Fact!$A:$A,T$3)</f>
        <v/>
      </c>
    </row>
    <row r="18">
      <c r="A18" s="11" t="inlineStr">
        <is>
          <t>4450</t>
        </is>
      </c>
      <c r="B18" s="12" t="inlineStr">
        <is>
          <t>Insurance Services</t>
        </is>
      </c>
      <c r="C18" s="38">
        <f>SUM(I18:T18)</f>
        <v/>
      </c>
      <c r="D18" s="38">
        <f>SUMIFS(qPL_Fact!$D:$D,qPL_Fact!$C:$C,$B18,qPL_Fact!$A:$A,D$3)</f>
        <v/>
      </c>
      <c r="E18" s="38">
        <f>SUMIFS(qPL_Fact!$D:$D,qPL_Fact!$C:$C,$B18,qPL_Fact!$A:$A,E$3)</f>
        <v/>
      </c>
      <c r="F18" s="38">
        <f>SUMIFS(qPL_Fact!$D:$D,qPL_Fact!$C:$C,$B18,qPL_Fact!$A:$A,F$3)</f>
        <v/>
      </c>
      <c r="G18" s="38">
        <f>SUMIFS(qPL_Fact!$D:$D,qPL_Fact!$C:$C,$B18,qPL_Fact!$A:$A,G$3)</f>
        <v/>
      </c>
      <c r="H18" s="38">
        <f>SUMIFS(qPL_Fact!$D:$D,qPL_Fact!$C:$C,$B18,qPL_Fact!$A:$A,H$3)</f>
        <v/>
      </c>
      <c r="I18" s="38">
        <f>SUMIFS(qPL_Fact!$D:$D,qPL_Fact!$C:$C,$B18,qPL_Fact!$A:$A,I$3)</f>
        <v/>
      </c>
      <c r="J18" s="38">
        <f>SUMIFS(qPL_Fact!$D:$D,qPL_Fact!$C:$C,$B18,qPL_Fact!$A:$A,J$3)</f>
        <v/>
      </c>
      <c r="K18" s="38">
        <f>SUMIFS(qPL_Fact!$D:$D,qPL_Fact!$C:$C,$B18,qPL_Fact!$A:$A,K$3)</f>
        <v/>
      </c>
      <c r="L18" s="38">
        <f>SUMIFS(qPL_Fact!$D:$D,qPL_Fact!$C:$C,$B18,qPL_Fact!$A:$A,L$3)</f>
        <v/>
      </c>
      <c r="M18" s="38">
        <f>SUMIFS(qPL_Fact!$D:$D,qPL_Fact!$C:$C,$B18,qPL_Fact!$A:$A,M$3)</f>
        <v/>
      </c>
      <c r="N18" s="38">
        <f>SUMIFS(qPL_Fact!$D:$D,qPL_Fact!$C:$C,$B18,qPL_Fact!$A:$A,N$3)</f>
        <v/>
      </c>
      <c r="O18" s="38">
        <f>SUMIFS(qPL_Fact!$D:$D,qPL_Fact!$C:$C,$B18,qPL_Fact!$A:$A,O$3)</f>
        <v/>
      </c>
      <c r="P18" s="38">
        <f>SUMIFS(qPL_Fact!$D:$D,qPL_Fact!$C:$C,$B18,qPL_Fact!$A:$A,P$3)</f>
        <v/>
      </c>
      <c r="Q18" s="38">
        <f>SUMIFS(qPL_Fact!$D:$D,qPL_Fact!$C:$C,$B18,qPL_Fact!$A:$A,Q$3)</f>
        <v/>
      </c>
      <c r="R18" s="38">
        <f>SUMIFS(qPL_Fact!$D:$D,qPL_Fact!$C:$C,$B18,qPL_Fact!$A:$A,R$3)</f>
        <v/>
      </c>
      <c r="S18" s="38">
        <f>SUMIFS(qPL_Fact!$D:$D,qPL_Fact!$C:$C,$B18,qPL_Fact!$A:$A,S$3)</f>
        <v/>
      </c>
      <c r="T18" s="38">
        <f>SUMIFS(qPL_Fact!$D:$D,qPL_Fact!$C:$C,$B18,qPL_Fact!$A:$A,T$3)</f>
        <v/>
      </c>
    </row>
    <row r="19">
      <c r="A19" s="23" t="n"/>
      <c r="B19" s="10" t="inlineStr">
        <is>
          <t>Interest Income</t>
        </is>
      </c>
      <c r="C19" s="37">
        <f>SUM(I19:T19)</f>
        <v/>
      </c>
      <c r="D19" s="37">
        <f>SUMIFS(qPL_Fact!$D:$D,qPL_Fact!$C:$C,$B19,qPL_Fact!$A:$A,D$3)</f>
        <v/>
      </c>
      <c r="E19" s="37">
        <f>SUMIFS(qPL_Fact!$D:$D,qPL_Fact!$C:$C,$B19,qPL_Fact!$A:$A,E$3)</f>
        <v/>
      </c>
      <c r="F19" s="37">
        <f>SUMIFS(qPL_Fact!$D:$D,qPL_Fact!$C:$C,$B19,qPL_Fact!$A:$A,F$3)</f>
        <v/>
      </c>
      <c r="G19" s="37">
        <f>SUMIFS(qPL_Fact!$D:$D,qPL_Fact!$C:$C,$B19,qPL_Fact!$A:$A,G$3)</f>
        <v/>
      </c>
      <c r="H19" s="37">
        <f>SUMIFS(qPL_Fact!$D:$D,qPL_Fact!$C:$C,$B19,qPL_Fact!$A:$A,H$3)</f>
        <v/>
      </c>
      <c r="I19" s="37">
        <f>SUMIFS(qPL_Fact!$D:$D,qPL_Fact!$C:$C,$B19,qPL_Fact!$A:$A,I$3)</f>
        <v/>
      </c>
      <c r="J19" s="37">
        <f>SUMIFS(qPL_Fact!$D:$D,qPL_Fact!$C:$C,$B19,qPL_Fact!$A:$A,J$3)</f>
        <v/>
      </c>
      <c r="K19" s="37">
        <f>SUMIFS(qPL_Fact!$D:$D,qPL_Fact!$C:$C,$B19,qPL_Fact!$A:$A,K$3)</f>
        <v/>
      </c>
      <c r="L19" s="37">
        <f>SUMIFS(qPL_Fact!$D:$D,qPL_Fact!$C:$C,$B19,qPL_Fact!$A:$A,L$3)</f>
        <v/>
      </c>
      <c r="M19" s="37">
        <f>SUMIFS(qPL_Fact!$D:$D,qPL_Fact!$C:$C,$B19,qPL_Fact!$A:$A,M$3)</f>
        <v/>
      </c>
      <c r="N19" s="37">
        <f>SUMIFS(qPL_Fact!$D:$D,qPL_Fact!$C:$C,$B19,qPL_Fact!$A:$A,N$3)</f>
        <v/>
      </c>
      <c r="O19" s="37">
        <f>SUMIFS(qPL_Fact!$D:$D,qPL_Fact!$C:$C,$B19,qPL_Fact!$A:$A,O$3)</f>
        <v/>
      </c>
      <c r="P19" s="37">
        <f>SUMIFS(qPL_Fact!$D:$D,qPL_Fact!$C:$C,$B19,qPL_Fact!$A:$A,P$3)</f>
        <v/>
      </c>
      <c r="Q19" s="37">
        <f>SUMIFS(qPL_Fact!$D:$D,qPL_Fact!$C:$C,$B19,qPL_Fact!$A:$A,Q$3)</f>
        <v/>
      </c>
      <c r="R19" s="37">
        <f>SUMIFS(qPL_Fact!$D:$D,qPL_Fact!$C:$C,$B19,qPL_Fact!$A:$A,R$3)</f>
        <v/>
      </c>
      <c r="S19" s="37">
        <f>SUMIFS(qPL_Fact!$D:$D,qPL_Fact!$C:$C,$B19,qPL_Fact!$A:$A,S$3)</f>
        <v/>
      </c>
      <c r="T19" s="37">
        <f>SUMIFS(qPL_Fact!$D:$D,qPL_Fact!$C:$C,$B19,qPL_Fact!$A:$A,T$3)</f>
        <v/>
      </c>
    </row>
    <row r="20">
      <c r="A20" s="11" t="inlineStr">
        <is>
          <t>4730</t>
        </is>
      </c>
      <c r="B20" s="12" t="inlineStr">
        <is>
          <t>Utility Reimbursement</t>
        </is>
      </c>
      <c r="C20" s="38">
        <f>SUM(I20:T20)</f>
        <v/>
      </c>
      <c r="D20" s="38">
        <f>SUMIFS(qPL_Fact!$D:$D,qPL_Fact!$C:$C,$B20,qPL_Fact!$A:$A,D$3)</f>
        <v/>
      </c>
      <c r="E20" s="38">
        <f>SUMIFS(qPL_Fact!$D:$D,qPL_Fact!$C:$C,$B20,qPL_Fact!$A:$A,E$3)</f>
        <v/>
      </c>
      <c r="F20" s="38">
        <f>SUMIFS(qPL_Fact!$D:$D,qPL_Fact!$C:$C,$B20,qPL_Fact!$A:$A,F$3)</f>
        <v/>
      </c>
      <c r="G20" s="38">
        <f>SUMIFS(qPL_Fact!$D:$D,qPL_Fact!$C:$C,$B20,qPL_Fact!$A:$A,G$3)</f>
        <v/>
      </c>
      <c r="H20" s="38">
        <f>SUMIFS(qPL_Fact!$D:$D,qPL_Fact!$C:$C,$B20,qPL_Fact!$A:$A,H$3)</f>
        <v/>
      </c>
      <c r="I20" s="38">
        <f>SUMIFS(qPL_Fact!$D:$D,qPL_Fact!$C:$C,$B20,qPL_Fact!$A:$A,I$3)</f>
        <v/>
      </c>
      <c r="J20" s="38">
        <f>SUMIFS(qPL_Fact!$D:$D,qPL_Fact!$C:$C,$B20,qPL_Fact!$A:$A,J$3)</f>
        <v/>
      </c>
      <c r="K20" s="38">
        <f>SUMIFS(qPL_Fact!$D:$D,qPL_Fact!$C:$C,$B20,qPL_Fact!$A:$A,K$3)</f>
        <v/>
      </c>
      <c r="L20" s="38">
        <f>SUMIFS(qPL_Fact!$D:$D,qPL_Fact!$C:$C,$B20,qPL_Fact!$A:$A,L$3)</f>
        <v/>
      </c>
      <c r="M20" s="38">
        <f>SUMIFS(qPL_Fact!$D:$D,qPL_Fact!$C:$C,$B20,qPL_Fact!$A:$A,M$3)</f>
        <v/>
      </c>
      <c r="N20" s="38">
        <f>SUMIFS(qPL_Fact!$D:$D,qPL_Fact!$C:$C,$B20,qPL_Fact!$A:$A,N$3)</f>
        <v/>
      </c>
      <c r="O20" s="38">
        <f>SUMIFS(qPL_Fact!$D:$D,qPL_Fact!$C:$C,$B20,qPL_Fact!$A:$A,O$3)</f>
        <v/>
      </c>
      <c r="P20" s="38">
        <f>SUMIFS(qPL_Fact!$D:$D,qPL_Fact!$C:$C,$B20,qPL_Fact!$A:$A,P$3)</f>
        <v/>
      </c>
      <c r="Q20" s="38">
        <f>SUMIFS(qPL_Fact!$D:$D,qPL_Fact!$C:$C,$B20,qPL_Fact!$A:$A,Q$3)</f>
        <v/>
      </c>
      <c r="R20" s="38">
        <f>SUMIFS(qPL_Fact!$D:$D,qPL_Fact!$C:$C,$B20,qPL_Fact!$A:$A,R$3)</f>
        <v/>
      </c>
      <c r="S20" s="38">
        <f>SUMIFS(qPL_Fact!$D:$D,qPL_Fact!$C:$C,$B20,qPL_Fact!$A:$A,S$3)</f>
        <v/>
      </c>
      <c r="T20" s="38">
        <f>SUMIFS(qPL_Fact!$D:$D,qPL_Fact!$C:$C,$B20,qPL_Fact!$A:$A,T$3)</f>
        <v/>
      </c>
    </row>
    <row r="21">
      <c r="A21" s="23" t="n"/>
      <c r="B21" s="10" t="inlineStr">
        <is>
          <t>Deposit Forfeit</t>
        </is>
      </c>
      <c r="C21" s="37">
        <f>SUM(I21:T21)</f>
        <v/>
      </c>
      <c r="D21" s="37">
        <f>SUMIFS(qPL_Fact!$D:$D,qPL_Fact!$C:$C,$B21,qPL_Fact!$A:$A,D$3)</f>
        <v/>
      </c>
      <c r="E21" s="37">
        <f>SUMIFS(qPL_Fact!$D:$D,qPL_Fact!$C:$C,$B21,qPL_Fact!$A:$A,E$3)</f>
        <v/>
      </c>
      <c r="F21" s="37">
        <f>SUMIFS(qPL_Fact!$D:$D,qPL_Fact!$C:$C,$B21,qPL_Fact!$A:$A,F$3)</f>
        <v/>
      </c>
      <c r="G21" s="37">
        <f>SUMIFS(qPL_Fact!$D:$D,qPL_Fact!$C:$C,$B21,qPL_Fact!$A:$A,G$3)</f>
        <v/>
      </c>
      <c r="H21" s="37">
        <f>SUMIFS(qPL_Fact!$D:$D,qPL_Fact!$C:$C,$B21,qPL_Fact!$A:$A,H$3)</f>
        <v/>
      </c>
      <c r="I21" s="37">
        <f>SUMIFS(qPL_Fact!$D:$D,qPL_Fact!$C:$C,$B21,qPL_Fact!$A:$A,I$3)</f>
        <v/>
      </c>
      <c r="J21" s="37">
        <f>SUMIFS(qPL_Fact!$D:$D,qPL_Fact!$C:$C,$B21,qPL_Fact!$A:$A,J$3)</f>
        <v/>
      </c>
      <c r="K21" s="37">
        <f>SUMIFS(qPL_Fact!$D:$D,qPL_Fact!$C:$C,$B21,qPL_Fact!$A:$A,K$3)</f>
        <v/>
      </c>
      <c r="L21" s="37">
        <f>SUMIFS(qPL_Fact!$D:$D,qPL_Fact!$C:$C,$B21,qPL_Fact!$A:$A,L$3)</f>
        <v/>
      </c>
      <c r="M21" s="37">
        <f>SUMIFS(qPL_Fact!$D:$D,qPL_Fact!$C:$C,$B21,qPL_Fact!$A:$A,M$3)</f>
        <v/>
      </c>
      <c r="N21" s="37">
        <f>SUMIFS(qPL_Fact!$D:$D,qPL_Fact!$C:$C,$B21,qPL_Fact!$A:$A,N$3)</f>
        <v/>
      </c>
      <c r="O21" s="37">
        <f>SUMIFS(qPL_Fact!$D:$D,qPL_Fact!$C:$C,$B21,qPL_Fact!$A:$A,O$3)</f>
        <v/>
      </c>
      <c r="P21" s="37">
        <f>SUMIFS(qPL_Fact!$D:$D,qPL_Fact!$C:$C,$B21,qPL_Fact!$A:$A,P$3)</f>
        <v/>
      </c>
      <c r="Q21" s="37">
        <f>SUMIFS(qPL_Fact!$D:$D,qPL_Fact!$C:$C,$B21,qPL_Fact!$A:$A,Q$3)</f>
        <v/>
      </c>
      <c r="R21" s="37">
        <f>SUMIFS(qPL_Fact!$D:$D,qPL_Fact!$C:$C,$B21,qPL_Fact!$A:$A,R$3)</f>
        <v/>
      </c>
      <c r="S21" s="37">
        <f>SUMIFS(qPL_Fact!$D:$D,qPL_Fact!$C:$C,$B21,qPL_Fact!$A:$A,S$3)</f>
        <v/>
      </c>
      <c r="T21" s="37">
        <f>SUMIFS(qPL_Fact!$D:$D,qPL_Fact!$C:$C,$B21,qPL_Fact!$A:$A,T$3)</f>
        <v/>
      </c>
    </row>
    <row r="22">
      <c r="A22" s="11" t="inlineStr">
        <is>
          <t>4410</t>
        </is>
      </c>
      <c r="B22" s="12" t="inlineStr">
        <is>
          <t>NSF Fees</t>
        </is>
      </c>
      <c r="C22" s="38">
        <f>SUM(I22:T22)</f>
        <v/>
      </c>
      <c r="D22" s="38">
        <f>SUMIFS(qPL_Fact!$D:$D,qPL_Fact!$C:$C,$B22,qPL_Fact!$A:$A,D$3)</f>
        <v/>
      </c>
      <c r="E22" s="38">
        <f>SUMIFS(qPL_Fact!$D:$D,qPL_Fact!$C:$C,$B22,qPL_Fact!$A:$A,E$3)</f>
        <v/>
      </c>
      <c r="F22" s="38">
        <f>SUMIFS(qPL_Fact!$D:$D,qPL_Fact!$C:$C,$B22,qPL_Fact!$A:$A,F$3)</f>
        <v/>
      </c>
      <c r="G22" s="38">
        <f>SUMIFS(qPL_Fact!$D:$D,qPL_Fact!$C:$C,$B22,qPL_Fact!$A:$A,G$3)</f>
        <v/>
      </c>
      <c r="H22" s="38">
        <f>SUMIFS(qPL_Fact!$D:$D,qPL_Fact!$C:$C,$B22,qPL_Fact!$A:$A,H$3)</f>
        <v/>
      </c>
      <c r="I22" s="38">
        <f>SUMIFS(qPL_Fact!$D:$D,qPL_Fact!$C:$C,$B22,qPL_Fact!$A:$A,I$3)</f>
        <v/>
      </c>
      <c r="J22" s="38">
        <f>SUMIFS(qPL_Fact!$D:$D,qPL_Fact!$C:$C,$B22,qPL_Fact!$A:$A,J$3)</f>
        <v/>
      </c>
      <c r="K22" s="38">
        <f>SUMIFS(qPL_Fact!$D:$D,qPL_Fact!$C:$C,$B22,qPL_Fact!$A:$A,K$3)</f>
        <v/>
      </c>
      <c r="L22" s="38">
        <f>SUMIFS(qPL_Fact!$D:$D,qPL_Fact!$C:$C,$B22,qPL_Fact!$A:$A,L$3)</f>
        <v/>
      </c>
      <c r="M22" s="38">
        <f>SUMIFS(qPL_Fact!$D:$D,qPL_Fact!$C:$C,$B22,qPL_Fact!$A:$A,M$3)</f>
        <v/>
      </c>
      <c r="N22" s="38">
        <f>SUMIFS(qPL_Fact!$D:$D,qPL_Fact!$C:$C,$B22,qPL_Fact!$A:$A,N$3)</f>
        <v/>
      </c>
      <c r="O22" s="38">
        <f>SUMIFS(qPL_Fact!$D:$D,qPL_Fact!$C:$C,$B22,qPL_Fact!$A:$A,O$3)</f>
        <v/>
      </c>
      <c r="P22" s="38">
        <f>SUMIFS(qPL_Fact!$D:$D,qPL_Fact!$C:$C,$B22,qPL_Fact!$A:$A,P$3)</f>
        <v/>
      </c>
      <c r="Q22" s="38">
        <f>SUMIFS(qPL_Fact!$D:$D,qPL_Fact!$C:$C,$B22,qPL_Fact!$A:$A,Q$3)</f>
        <v/>
      </c>
      <c r="R22" s="38">
        <f>SUMIFS(qPL_Fact!$D:$D,qPL_Fact!$C:$C,$B22,qPL_Fact!$A:$A,R$3)</f>
        <v/>
      </c>
      <c r="S22" s="38">
        <f>SUMIFS(qPL_Fact!$D:$D,qPL_Fact!$C:$C,$B22,qPL_Fact!$A:$A,S$3)</f>
        <v/>
      </c>
      <c r="T22" s="38">
        <f>SUMIFS(qPL_Fact!$D:$D,qPL_Fact!$C:$C,$B22,qPL_Fact!$A:$A,T$3)</f>
        <v/>
      </c>
    </row>
    <row r="23">
      <c r="A23" s="39" t="n"/>
      <c r="B23" s="40" t="inlineStr">
        <is>
          <t>Total Other Income</t>
        </is>
      </c>
      <c r="C23" s="41">
        <f>SUM(I23:T23)</f>
        <v/>
      </c>
      <c r="D23" s="41">
        <f>SUMIFS(qPL_Fact!$D:$D,qPL_Fact!$C:$C,$B23,qPL_Fact!$A:$A,D$3)</f>
        <v/>
      </c>
      <c r="E23" s="41">
        <f>SUMIFS(qPL_Fact!$D:$D,qPL_Fact!$C:$C,$B23,qPL_Fact!$A:$A,E$3)</f>
        <v/>
      </c>
      <c r="F23" s="41">
        <f>SUMIFS(qPL_Fact!$D:$D,qPL_Fact!$C:$C,$B23,qPL_Fact!$A:$A,F$3)</f>
        <v/>
      </c>
      <c r="G23" s="41">
        <f>SUMIFS(qPL_Fact!$D:$D,qPL_Fact!$C:$C,$B23,qPL_Fact!$A:$A,G$3)</f>
        <v/>
      </c>
      <c r="H23" s="41">
        <f>SUMIFS(qPL_Fact!$D:$D,qPL_Fact!$C:$C,$B23,qPL_Fact!$A:$A,H$3)</f>
        <v/>
      </c>
      <c r="I23" s="41">
        <f>SUMIFS(qPL_Fact!$D:$D,qPL_Fact!$C:$C,$B23,qPL_Fact!$A:$A,I$3)</f>
        <v/>
      </c>
      <c r="J23" s="41">
        <f>SUMIFS(qPL_Fact!$D:$D,qPL_Fact!$C:$C,$B23,qPL_Fact!$A:$A,J$3)</f>
        <v/>
      </c>
      <c r="K23" s="41">
        <f>SUMIFS(qPL_Fact!$D:$D,qPL_Fact!$C:$C,$B23,qPL_Fact!$A:$A,K$3)</f>
        <v/>
      </c>
      <c r="L23" s="41">
        <f>SUMIFS(qPL_Fact!$D:$D,qPL_Fact!$C:$C,$B23,qPL_Fact!$A:$A,L$3)</f>
        <v/>
      </c>
      <c r="M23" s="41">
        <f>SUMIFS(qPL_Fact!$D:$D,qPL_Fact!$C:$C,$B23,qPL_Fact!$A:$A,M$3)</f>
        <v/>
      </c>
      <c r="N23" s="41">
        <f>SUMIFS(qPL_Fact!$D:$D,qPL_Fact!$C:$C,$B23,qPL_Fact!$A:$A,N$3)</f>
        <v/>
      </c>
      <c r="O23" s="41">
        <f>SUMIFS(qPL_Fact!$D:$D,qPL_Fact!$C:$C,$B23,qPL_Fact!$A:$A,O$3)</f>
        <v/>
      </c>
      <c r="P23" s="41">
        <f>SUMIFS(qPL_Fact!$D:$D,qPL_Fact!$C:$C,$B23,qPL_Fact!$A:$A,P$3)</f>
        <v/>
      </c>
      <c r="Q23" s="41">
        <f>SUMIFS(qPL_Fact!$D:$D,qPL_Fact!$C:$C,$B23,qPL_Fact!$A:$A,Q$3)</f>
        <v/>
      </c>
      <c r="R23" s="41">
        <f>SUMIFS(qPL_Fact!$D:$D,qPL_Fact!$C:$C,$B23,qPL_Fact!$A:$A,R$3)</f>
        <v/>
      </c>
      <c r="S23" s="41">
        <f>SUMIFS(qPL_Fact!$D:$D,qPL_Fact!$C:$C,$B23,qPL_Fact!$A:$A,S$3)</f>
        <v/>
      </c>
      <c r="T23" s="41">
        <f>SUMIFS(qPL_Fact!$D:$D,qPL_Fact!$C:$C,$B23,qPL_Fact!$A:$A,T$3)</f>
        <v/>
      </c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</row>
    <row r="25">
      <c r="A25" s="39" t="n"/>
      <c r="B25" s="40" t="inlineStr">
        <is>
          <t>EFFECTIVE GROSS INCOME (EGI)</t>
        </is>
      </c>
      <c r="C25" s="41">
        <f>SUM(I25:T25)</f>
        <v/>
      </c>
      <c r="D25" s="41">
        <f>SUMIFS(qPL_Fact!$D:$D,qPL_Fact!$C:$C,$B25,qPL_Fact!$A:$A,D$3)</f>
        <v/>
      </c>
      <c r="E25" s="41">
        <f>SUMIFS(qPL_Fact!$D:$D,qPL_Fact!$C:$C,$B25,qPL_Fact!$A:$A,E$3)</f>
        <v/>
      </c>
      <c r="F25" s="41">
        <f>SUMIFS(qPL_Fact!$D:$D,qPL_Fact!$C:$C,$B25,qPL_Fact!$A:$A,F$3)</f>
        <v/>
      </c>
      <c r="G25" s="41">
        <f>SUMIFS(qPL_Fact!$D:$D,qPL_Fact!$C:$C,$B25,qPL_Fact!$A:$A,G$3)</f>
        <v/>
      </c>
      <c r="H25" s="41">
        <f>SUMIFS(qPL_Fact!$D:$D,qPL_Fact!$C:$C,$B25,qPL_Fact!$A:$A,H$3)</f>
        <v/>
      </c>
      <c r="I25" s="41">
        <f>SUMIFS(qPL_Fact!$D:$D,qPL_Fact!$C:$C,$B25,qPL_Fact!$A:$A,I$3)</f>
        <v/>
      </c>
      <c r="J25" s="41">
        <f>SUMIFS(qPL_Fact!$D:$D,qPL_Fact!$C:$C,$B25,qPL_Fact!$A:$A,J$3)</f>
        <v/>
      </c>
      <c r="K25" s="41">
        <f>SUMIFS(qPL_Fact!$D:$D,qPL_Fact!$C:$C,$B25,qPL_Fact!$A:$A,K$3)</f>
        <v/>
      </c>
      <c r="L25" s="41">
        <f>SUMIFS(qPL_Fact!$D:$D,qPL_Fact!$C:$C,$B25,qPL_Fact!$A:$A,L$3)</f>
        <v/>
      </c>
      <c r="M25" s="41">
        <f>SUMIFS(qPL_Fact!$D:$D,qPL_Fact!$C:$C,$B25,qPL_Fact!$A:$A,M$3)</f>
        <v/>
      </c>
      <c r="N25" s="41">
        <f>SUMIFS(qPL_Fact!$D:$D,qPL_Fact!$C:$C,$B25,qPL_Fact!$A:$A,N$3)</f>
        <v/>
      </c>
      <c r="O25" s="41">
        <f>SUMIFS(qPL_Fact!$D:$D,qPL_Fact!$C:$C,$B25,qPL_Fact!$A:$A,O$3)</f>
        <v/>
      </c>
      <c r="P25" s="41">
        <f>SUMIFS(qPL_Fact!$D:$D,qPL_Fact!$C:$C,$B25,qPL_Fact!$A:$A,P$3)</f>
        <v/>
      </c>
      <c r="Q25" s="41">
        <f>SUMIFS(qPL_Fact!$D:$D,qPL_Fact!$C:$C,$B25,qPL_Fact!$A:$A,Q$3)</f>
        <v/>
      </c>
      <c r="R25" s="41">
        <f>SUMIFS(qPL_Fact!$D:$D,qPL_Fact!$C:$C,$B25,qPL_Fact!$A:$A,R$3)</f>
        <v/>
      </c>
      <c r="S25" s="41">
        <f>SUMIFS(qPL_Fact!$D:$D,qPL_Fact!$C:$C,$B25,qPL_Fact!$A:$A,S$3)</f>
        <v/>
      </c>
      <c r="T25" s="41">
        <f>SUMIFS(qPL_Fact!$D:$D,qPL_Fact!$C:$C,$B25,qPL_Fact!$A:$A,T$3)</f>
        <v/>
      </c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</row>
    <row r="27" ht="20" customHeight="1">
      <c r="A27" s="6" t="n"/>
      <c r="B27" s="6" t="inlineStr">
        <is>
          <t>OPERATING EXPENSES</t>
        </is>
      </c>
      <c r="C27" s="36">
        <f>SUM(I27:T27)</f>
        <v/>
      </c>
      <c r="D27" s="36">
        <f>SUMIFS(qPL_Fact!$D:$D,qPL_Fact!$C:$C,$B27,qPL_Fact!$A:$A,D$3)</f>
        <v/>
      </c>
      <c r="E27" s="36">
        <f>SUMIFS(qPL_Fact!$D:$D,qPL_Fact!$C:$C,$B27,qPL_Fact!$A:$A,E$3)</f>
        <v/>
      </c>
      <c r="F27" s="36">
        <f>SUMIFS(qPL_Fact!$D:$D,qPL_Fact!$C:$C,$B27,qPL_Fact!$A:$A,F$3)</f>
        <v/>
      </c>
      <c r="G27" s="36">
        <f>SUMIFS(qPL_Fact!$D:$D,qPL_Fact!$C:$C,$B27,qPL_Fact!$A:$A,G$3)</f>
        <v/>
      </c>
      <c r="H27" s="36">
        <f>SUMIFS(qPL_Fact!$D:$D,qPL_Fact!$C:$C,$B27,qPL_Fact!$A:$A,H$3)</f>
        <v/>
      </c>
      <c r="I27" s="36">
        <f>SUMIFS(qPL_Fact!$D:$D,qPL_Fact!$C:$C,$B27,qPL_Fact!$A:$A,I$3)</f>
        <v/>
      </c>
      <c r="J27" s="36">
        <f>SUMIFS(qPL_Fact!$D:$D,qPL_Fact!$C:$C,$B27,qPL_Fact!$A:$A,J$3)</f>
        <v/>
      </c>
      <c r="K27" s="36">
        <f>SUMIFS(qPL_Fact!$D:$D,qPL_Fact!$C:$C,$B27,qPL_Fact!$A:$A,K$3)</f>
        <v/>
      </c>
      <c r="L27" s="36">
        <f>SUMIFS(qPL_Fact!$D:$D,qPL_Fact!$C:$C,$B27,qPL_Fact!$A:$A,L$3)</f>
        <v/>
      </c>
      <c r="M27" s="36">
        <f>SUMIFS(qPL_Fact!$D:$D,qPL_Fact!$C:$C,$B27,qPL_Fact!$A:$A,M$3)</f>
        <v/>
      </c>
      <c r="N27" s="36">
        <f>SUMIFS(qPL_Fact!$D:$D,qPL_Fact!$C:$C,$B27,qPL_Fact!$A:$A,N$3)</f>
        <v/>
      </c>
      <c r="O27" s="36">
        <f>SUMIFS(qPL_Fact!$D:$D,qPL_Fact!$C:$C,$B27,qPL_Fact!$A:$A,O$3)</f>
        <v/>
      </c>
      <c r="P27" s="36">
        <f>SUMIFS(qPL_Fact!$D:$D,qPL_Fact!$C:$C,$B27,qPL_Fact!$A:$A,P$3)</f>
        <v/>
      </c>
      <c r="Q27" s="36">
        <f>SUMIFS(qPL_Fact!$D:$D,qPL_Fact!$C:$C,$B27,qPL_Fact!$A:$A,Q$3)</f>
        <v/>
      </c>
      <c r="R27" s="36">
        <f>SUMIFS(qPL_Fact!$D:$D,qPL_Fact!$C:$C,$B27,qPL_Fact!$A:$A,R$3)</f>
        <v/>
      </c>
      <c r="S27" s="36">
        <f>SUMIFS(qPL_Fact!$D:$D,qPL_Fact!$C:$C,$B27,qPL_Fact!$A:$A,S$3)</f>
        <v/>
      </c>
      <c r="T27" s="36">
        <f>SUMIFS(qPL_Fact!$D:$D,qPL_Fact!$C:$C,$B27,qPL_Fact!$A:$A,T$3)</f>
        <v/>
      </c>
    </row>
    <row r="28">
      <c r="A28" s="11" t="inlineStr">
        <is>
          <t>6161</t>
        </is>
      </c>
      <c r="B28" s="12" t="inlineStr">
        <is>
          <t>Real Estate Taxes</t>
        </is>
      </c>
      <c r="C28" s="38">
        <f>SUM(I28:T28)</f>
        <v/>
      </c>
      <c r="D28" s="38">
        <f>SUMIFS(qPL_Fact!$D:$D,qPL_Fact!$C:$C,$B28,qPL_Fact!$A:$A,D$3)</f>
        <v/>
      </c>
      <c r="E28" s="38">
        <f>SUMIFS(qPL_Fact!$D:$D,qPL_Fact!$C:$C,$B28,qPL_Fact!$A:$A,E$3)</f>
        <v/>
      </c>
      <c r="F28" s="38">
        <f>SUMIFS(qPL_Fact!$D:$D,qPL_Fact!$C:$C,$B28,qPL_Fact!$A:$A,F$3)</f>
        <v/>
      </c>
      <c r="G28" s="38">
        <f>SUMIFS(qPL_Fact!$D:$D,qPL_Fact!$C:$C,$B28,qPL_Fact!$A:$A,G$3)</f>
        <v/>
      </c>
      <c r="H28" s="38">
        <f>SUMIFS(qPL_Fact!$D:$D,qPL_Fact!$C:$C,$B28,qPL_Fact!$A:$A,H$3)</f>
        <v/>
      </c>
      <c r="I28" s="38">
        <f>SUMIFS(qPL_Fact!$D:$D,qPL_Fact!$C:$C,$B28,qPL_Fact!$A:$A,I$3)</f>
        <v/>
      </c>
      <c r="J28" s="38">
        <f>SUMIFS(qPL_Fact!$D:$D,qPL_Fact!$C:$C,$B28,qPL_Fact!$A:$A,J$3)</f>
        <v/>
      </c>
      <c r="K28" s="38">
        <f>SUMIFS(qPL_Fact!$D:$D,qPL_Fact!$C:$C,$B28,qPL_Fact!$A:$A,K$3)</f>
        <v/>
      </c>
      <c r="L28" s="38">
        <f>SUMIFS(qPL_Fact!$D:$D,qPL_Fact!$C:$C,$B28,qPL_Fact!$A:$A,L$3)</f>
        <v/>
      </c>
      <c r="M28" s="38">
        <f>SUMIFS(qPL_Fact!$D:$D,qPL_Fact!$C:$C,$B28,qPL_Fact!$A:$A,M$3)</f>
        <v/>
      </c>
      <c r="N28" s="38">
        <f>SUMIFS(qPL_Fact!$D:$D,qPL_Fact!$C:$C,$B28,qPL_Fact!$A:$A,N$3)</f>
        <v/>
      </c>
      <c r="O28" s="38">
        <f>SUMIFS(qPL_Fact!$D:$D,qPL_Fact!$C:$C,$B28,qPL_Fact!$A:$A,O$3)</f>
        <v/>
      </c>
      <c r="P28" s="38">
        <f>SUMIFS(qPL_Fact!$D:$D,qPL_Fact!$C:$C,$B28,qPL_Fact!$A:$A,P$3)</f>
        <v/>
      </c>
      <c r="Q28" s="38">
        <f>SUMIFS(qPL_Fact!$D:$D,qPL_Fact!$C:$C,$B28,qPL_Fact!$A:$A,Q$3)</f>
        <v/>
      </c>
      <c r="R28" s="38">
        <f>SUMIFS(qPL_Fact!$D:$D,qPL_Fact!$C:$C,$B28,qPL_Fact!$A:$A,R$3)</f>
        <v/>
      </c>
      <c r="S28" s="38">
        <f>SUMIFS(qPL_Fact!$D:$D,qPL_Fact!$C:$C,$B28,qPL_Fact!$A:$A,S$3)</f>
        <v/>
      </c>
      <c r="T28" s="38">
        <f>SUMIFS(qPL_Fact!$D:$D,qPL_Fact!$C:$C,$B28,qPL_Fact!$A:$A,T$3)</f>
        <v/>
      </c>
    </row>
    <row r="29">
      <c r="A29" s="8" t="inlineStr">
        <is>
          <t>6091</t>
        </is>
      </c>
      <c r="B29" s="10" t="inlineStr">
        <is>
          <t>Property Insurance</t>
        </is>
      </c>
      <c r="C29" s="37">
        <f>SUM(I29:T29)</f>
        <v/>
      </c>
      <c r="D29" s="37">
        <f>SUMIFS(qPL_Fact!$D:$D,qPL_Fact!$C:$C,$B29,qPL_Fact!$A:$A,D$3)</f>
        <v/>
      </c>
      <c r="E29" s="37">
        <f>SUMIFS(qPL_Fact!$D:$D,qPL_Fact!$C:$C,$B29,qPL_Fact!$A:$A,E$3)</f>
        <v/>
      </c>
      <c r="F29" s="37">
        <f>SUMIFS(qPL_Fact!$D:$D,qPL_Fact!$C:$C,$B29,qPL_Fact!$A:$A,F$3)</f>
        <v/>
      </c>
      <c r="G29" s="37">
        <f>SUMIFS(qPL_Fact!$D:$D,qPL_Fact!$C:$C,$B29,qPL_Fact!$A:$A,G$3)</f>
        <v/>
      </c>
      <c r="H29" s="37">
        <f>SUMIFS(qPL_Fact!$D:$D,qPL_Fact!$C:$C,$B29,qPL_Fact!$A:$A,H$3)</f>
        <v/>
      </c>
      <c r="I29" s="37">
        <f>SUMIFS(qPL_Fact!$D:$D,qPL_Fact!$C:$C,$B29,qPL_Fact!$A:$A,I$3)</f>
        <v/>
      </c>
      <c r="J29" s="37">
        <f>SUMIFS(qPL_Fact!$D:$D,qPL_Fact!$C:$C,$B29,qPL_Fact!$A:$A,J$3)</f>
        <v/>
      </c>
      <c r="K29" s="37">
        <f>SUMIFS(qPL_Fact!$D:$D,qPL_Fact!$C:$C,$B29,qPL_Fact!$A:$A,K$3)</f>
        <v/>
      </c>
      <c r="L29" s="37">
        <f>SUMIFS(qPL_Fact!$D:$D,qPL_Fact!$C:$C,$B29,qPL_Fact!$A:$A,L$3)</f>
        <v/>
      </c>
      <c r="M29" s="37">
        <f>SUMIFS(qPL_Fact!$D:$D,qPL_Fact!$C:$C,$B29,qPL_Fact!$A:$A,M$3)</f>
        <v/>
      </c>
      <c r="N29" s="37">
        <f>SUMIFS(qPL_Fact!$D:$D,qPL_Fact!$C:$C,$B29,qPL_Fact!$A:$A,N$3)</f>
        <v/>
      </c>
      <c r="O29" s="37">
        <f>SUMIFS(qPL_Fact!$D:$D,qPL_Fact!$C:$C,$B29,qPL_Fact!$A:$A,O$3)</f>
        <v/>
      </c>
      <c r="P29" s="37">
        <f>SUMIFS(qPL_Fact!$D:$D,qPL_Fact!$C:$C,$B29,qPL_Fact!$A:$A,P$3)</f>
        <v/>
      </c>
      <c r="Q29" s="37">
        <f>SUMIFS(qPL_Fact!$D:$D,qPL_Fact!$C:$C,$B29,qPL_Fact!$A:$A,Q$3)</f>
        <v/>
      </c>
      <c r="R29" s="37">
        <f>SUMIFS(qPL_Fact!$D:$D,qPL_Fact!$C:$C,$B29,qPL_Fact!$A:$A,R$3)</f>
        <v/>
      </c>
      <c r="S29" s="37">
        <f>SUMIFS(qPL_Fact!$D:$D,qPL_Fact!$C:$C,$B29,qPL_Fact!$A:$A,S$3)</f>
        <v/>
      </c>
      <c r="T29" s="37">
        <f>SUMIFS(qPL_Fact!$D:$D,qPL_Fact!$C:$C,$B29,qPL_Fact!$A:$A,T$3)</f>
        <v/>
      </c>
    </row>
    <row r="30">
      <c r="A30" s="11" t="inlineStr">
        <is>
          <t>6002</t>
        </is>
      </c>
      <c r="B30" s="12" t="inlineStr">
        <is>
          <t>Payroll</t>
        </is>
      </c>
      <c r="C30" s="38">
        <f>SUM(I30:T30)</f>
        <v/>
      </c>
      <c r="D30" s="38">
        <f>SUMIFS(qPL_Fact!$D:$D,qPL_Fact!$C:$C,$B30,qPL_Fact!$A:$A,D$3)</f>
        <v/>
      </c>
      <c r="E30" s="38">
        <f>SUMIFS(qPL_Fact!$D:$D,qPL_Fact!$C:$C,$B30,qPL_Fact!$A:$A,E$3)</f>
        <v/>
      </c>
      <c r="F30" s="38">
        <f>SUMIFS(qPL_Fact!$D:$D,qPL_Fact!$C:$C,$B30,qPL_Fact!$A:$A,F$3)</f>
        <v/>
      </c>
      <c r="G30" s="38">
        <f>SUMIFS(qPL_Fact!$D:$D,qPL_Fact!$C:$C,$B30,qPL_Fact!$A:$A,G$3)</f>
        <v/>
      </c>
      <c r="H30" s="38">
        <f>SUMIFS(qPL_Fact!$D:$D,qPL_Fact!$C:$C,$B30,qPL_Fact!$A:$A,H$3)</f>
        <v/>
      </c>
      <c r="I30" s="38">
        <f>SUMIFS(qPL_Fact!$D:$D,qPL_Fact!$C:$C,$B30,qPL_Fact!$A:$A,I$3)</f>
        <v/>
      </c>
      <c r="J30" s="38">
        <f>SUMIFS(qPL_Fact!$D:$D,qPL_Fact!$C:$C,$B30,qPL_Fact!$A:$A,J$3)</f>
        <v/>
      </c>
      <c r="K30" s="38">
        <f>SUMIFS(qPL_Fact!$D:$D,qPL_Fact!$C:$C,$B30,qPL_Fact!$A:$A,K$3)</f>
        <v/>
      </c>
      <c r="L30" s="38">
        <f>SUMIFS(qPL_Fact!$D:$D,qPL_Fact!$C:$C,$B30,qPL_Fact!$A:$A,L$3)</f>
        <v/>
      </c>
      <c r="M30" s="38">
        <f>SUMIFS(qPL_Fact!$D:$D,qPL_Fact!$C:$C,$B30,qPL_Fact!$A:$A,M$3)</f>
        <v/>
      </c>
      <c r="N30" s="38">
        <f>SUMIFS(qPL_Fact!$D:$D,qPL_Fact!$C:$C,$B30,qPL_Fact!$A:$A,N$3)</f>
        <v/>
      </c>
      <c r="O30" s="38">
        <f>SUMIFS(qPL_Fact!$D:$D,qPL_Fact!$C:$C,$B30,qPL_Fact!$A:$A,O$3)</f>
        <v/>
      </c>
      <c r="P30" s="38">
        <f>SUMIFS(qPL_Fact!$D:$D,qPL_Fact!$C:$C,$B30,qPL_Fact!$A:$A,P$3)</f>
        <v/>
      </c>
      <c r="Q30" s="38">
        <f>SUMIFS(qPL_Fact!$D:$D,qPL_Fact!$C:$C,$B30,qPL_Fact!$A:$A,Q$3)</f>
        <v/>
      </c>
      <c r="R30" s="38">
        <f>SUMIFS(qPL_Fact!$D:$D,qPL_Fact!$C:$C,$B30,qPL_Fact!$A:$A,R$3)</f>
        <v/>
      </c>
      <c r="S30" s="38">
        <f>SUMIFS(qPL_Fact!$D:$D,qPL_Fact!$C:$C,$B30,qPL_Fact!$A:$A,S$3)</f>
        <v/>
      </c>
      <c r="T30" s="38">
        <f>SUMIFS(qPL_Fact!$D:$D,qPL_Fact!$C:$C,$B30,qPL_Fact!$A:$A,T$3)</f>
        <v/>
      </c>
    </row>
    <row r="31">
      <c r="A31" s="8" t="inlineStr">
        <is>
          <t>6003</t>
        </is>
      </c>
      <c r="B31" s="10" t="inlineStr">
        <is>
          <t>Advertising</t>
        </is>
      </c>
      <c r="C31" s="37">
        <f>SUM(I31:T31)</f>
        <v/>
      </c>
      <c r="D31" s="37">
        <f>SUMIFS(qPL_Fact!$D:$D,qPL_Fact!$C:$C,$B31,qPL_Fact!$A:$A,D$3)</f>
        <v/>
      </c>
      <c r="E31" s="37">
        <f>SUMIFS(qPL_Fact!$D:$D,qPL_Fact!$C:$C,$B31,qPL_Fact!$A:$A,E$3)</f>
        <v/>
      </c>
      <c r="F31" s="37">
        <f>SUMIFS(qPL_Fact!$D:$D,qPL_Fact!$C:$C,$B31,qPL_Fact!$A:$A,F$3)</f>
        <v/>
      </c>
      <c r="G31" s="37">
        <f>SUMIFS(qPL_Fact!$D:$D,qPL_Fact!$C:$C,$B31,qPL_Fact!$A:$A,G$3)</f>
        <v/>
      </c>
      <c r="H31" s="37">
        <f>SUMIFS(qPL_Fact!$D:$D,qPL_Fact!$C:$C,$B31,qPL_Fact!$A:$A,H$3)</f>
        <v/>
      </c>
      <c r="I31" s="37">
        <f>SUMIFS(qPL_Fact!$D:$D,qPL_Fact!$C:$C,$B31,qPL_Fact!$A:$A,I$3)</f>
        <v/>
      </c>
      <c r="J31" s="37">
        <f>SUMIFS(qPL_Fact!$D:$D,qPL_Fact!$C:$C,$B31,qPL_Fact!$A:$A,J$3)</f>
        <v/>
      </c>
      <c r="K31" s="37">
        <f>SUMIFS(qPL_Fact!$D:$D,qPL_Fact!$C:$C,$B31,qPL_Fact!$A:$A,K$3)</f>
        <v/>
      </c>
      <c r="L31" s="37">
        <f>SUMIFS(qPL_Fact!$D:$D,qPL_Fact!$C:$C,$B31,qPL_Fact!$A:$A,L$3)</f>
        <v/>
      </c>
      <c r="M31" s="37">
        <f>SUMIFS(qPL_Fact!$D:$D,qPL_Fact!$C:$C,$B31,qPL_Fact!$A:$A,M$3)</f>
        <v/>
      </c>
      <c r="N31" s="37">
        <f>SUMIFS(qPL_Fact!$D:$D,qPL_Fact!$C:$C,$B31,qPL_Fact!$A:$A,N$3)</f>
        <v/>
      </c>
      <c r="O31" s="37">
        <f>SUMIFS(qPL_Fact!$D:$D,qPL_Fact!$C:$C,$B31,qPL_Fact!$A:$A,O$3)</f>
        <v/>
      </c>
      <c r="P31" s="37">
        <f>SUMIFS(qPL_Fact!$D:$D,qPL_Fact!$C:$C,$B31,qPL_Fact!$A:$A,P$3)</f>
        <v/>
      </c>
      <c r="Q31" s="37">
        <f>SUMIFS(qPL_Fact!$D:$D,qPL_Fact!$C:$C,$B31,qPL_Fact!$A:$A,Q$3)</f>
        <v/>
      </c>
      <c r="R31" s="37">
        <f>SUMIFS(qPL_Fact!$D:$D,qPL_Fact!$C:$C,$B31,qPL_Fact!$A:$A,R$3)</f>
        <v/>
      </c>
      <c r="S31" s="37">
        <f>SUMIFS(qPL_Fact!$D:$D,qPL_Fact!$C:$C,$B31,qPL_Fact!$A:$A,S$3)</f>
        <v/>
      </c>
      <c r="T31" s="37">
        <f>SUMIFS(qPL_Fact!$D:$D,qPL_Fact!$C:$C,$B31,qPL_Fact!$A:$A,T$3)</f>
        <v/>
      </c>
    </row>
    <row r="32">
      <c r="A32" s="11" t="inlineStr">
        <is>
          <t>6171</t>
        </is>
      </c>
      <c r="B32" s="12" t="inlineStr">
        <is>
          <t>Electricity</t>
        </is>
      </c>
      <c r="C32" s="38">
        <f>SUM(I32:T32)</f>
        <v/>
      </c>
      <c r="D32" s="38">
        <f>SUMIFS(qPL_Fact!$D:$D,qPL_Fact!$C:$C,$B32,qPL_Fact!$A:$A,D$3)</f>
        <v/>
      </c>
      <c r="E32" s="38">
        <f>SUMIFS(qPL_Fact!$D:$D,qPL_Fact!$C:$C,$B32,qPL_Fact!$A:$A,E$3)</f>
        <v/>
      </c>
      <c r="F32" s="38">
        <f>SUMIFS(qPL_Fact!$D:$D,qPL_Fact!$C:$C,$B32,qPL_Fact!$A:$A,F$3)</f>
        <v/>
      </c>
      <c r="G32" s="38">
        <f>SUMIFS(qPL_Fact!$D:$D,qPL_Fact!$C:$C,$B32,qPL_Fact!$A:$A,G$3)</f>
        <v/>
      </c>
      <c r="H32" s="38">
        <f>SUMIFS(qPL_Fact!$D:$D,qPL_Fact!$C:$C,$B32,qPL_Fact!$A:$A,H$3)</f>
        <v/>
      </c>
      <c r="I32" s="38">
        <f>SUMIFS(qPL_Fact!$D:$D,qPL_Fact!$C:$C,$B32,qPL_Fact!$A:$A,I$3)</f>
        <v/>
      </c>
      <c r="J32" s="38">
        <f>SUMIFS(qPL_Fact!$D:$D,qPL_Fact!$C:$C,$B32,qPL_Fact!$A:$A,J$3)</f>
        <v/>
      </c>
      <c r="K32" s="38">
        <f>SUMIFS(qPL_Fact!$D:$D,qPL_Fact!$C:$C,$B32,qPL_Fact!$A:$A,K$3)</f>
        <v/>
      </c>
      <c r="L32" s="38">
        <f>SUMIFS(qPL_Fact!$D:$D,qPL_Fact!$C:$C,$B32,qPL_Fact!$A:$A,L$3)</f>
        <v/>
      </c>
      <c r="M32" s="38">
        <f>SUMIFS(qPL_Fact!$D:$D,qPL_Fact!$C:$C,$B32,qPL_Fact!$A:$A,M$3)</f>
        <v/>
      </c>
      <c r="N32" s="38">
        <f>SUMIFS(qPL_Fact!$D:$D,qPL_Fact!$C:$C,$B32,qPL_Fact!$A:$A,N$3)</f>
        <v/>
      </c>
      <c r="O32" s="38">
        <f>SUMIFS(qPL_Fact!$D:$D,qPL_Fact!$C:$C,$B32,qPL_Fact!$A:$A,O$3)</f>
        <v/>
      </c>
      <c r="P32" s="38">
        <f>SUMIFS(qPL_Fact!$D:$D,qPL_Fact!$C:$C,$B32,qPL_Fact!$A:$A,P$3)</f>
        <v/>
      </c>
      <c r="Q32" s="38">
        <f>SUMIFS(qPL_Fact!$D:$D,qPL_Fact!$C:$C,$B32,qPL_Fact!$A:$A,Q$3)</f>
        <v/>
      </c>
      <c r="R32" s="38">
        <f>SUMIFS(qPL_Fact!$D:$D,qPL_Fact!$C:$C,$B32,qPL_Fact!$A:$A,R$3)</f>
        <v/>
      </c>
      <c r="S32" s="38">
        <f>SUMIFS(qPL_Fact!$D:$D,qPL_Fact!$C:$C,$B32,qPL_Fact!$A:$A,S$3)</f>
        <v/>
      </c>
      <c r="T32" s="38">
        <f>SUMIFS(qPL_Fact!$D:$D,qPL_Fact!$C:$C,$B32,qPL_Fact!$A:$A,T$3)</f>
        <v/>
      </c>
    </row>
    <row r="33">
      <c r="A33" s="8" t="inlineStr">
        <is>
          <t>6172</t>
        </is>
      </c>
      <c r="B33" s="10" t="inlineStr">
        <is>
          <t>Gas</t>
        </is>
      </c>
      <c r="C33" s="37">
        <f>SUM(I33:T33)</f>
        <v/>
      </c>
      <c r="D33" s="37">
        <f>SUMIFS(qPL_Fact!$D:$D,qPL_Fact!$C:$C,$B33,qPL_Fact!$A:$A,D$3)</f>
        <v/>
      </c>
      <c r="E33" s="37">
        <f>SUMIFS(qPL_Fact!$D:$D,qPL_Fact!$C:$C,$B33,qPL_Fact!$A:$A,E$3)</f>
        <v/>
      </c>
      <c r="F33" s="37">
        <f>SUMIFS(qPL_Fact!$D:$D,qPL_Fact!$C:$C,$B33,qPL_Fact!$A:$A,F$3)</f>
        <v/>
      </c>
      <c r="G33" s="37">
        <f>SUMIFS(qPL_Fact!$D:$D,qPL_Fact!$C:$C,$B33,qPL_Fact!$A:$A,G$3)</f>
        <v/>
      </c>
      <c r="H33" s="37">
        <f>SUMIFS(qPL_Fact!$D:$D,qPL_Fact!$C:$C,$B33,qPL_Fact!$A:$A,H$3)</f>
        <v/>
      </c>
      <c r="I33" s="37">
        <f>SUMIFS(qPL_Fact!$D:$D,qPL_Fact!$C:$C,$B33,qPL_Fact!$A:$A,I$3)</f>
        <v/>
      </c>
      <c r="J33" s="37">
        <f>SUMIFS(qPL_Fact!$D:$D,qPL_Fact!$C:$C,$B33,qPL_Fact!$A:$A,J$3)</f>
        <v/>
      </c>
      <c r="K33" s="37">
        <f>SUMIFS(qPL_Fact!$D:$D,qPL_Fact!$C:$C,$B33,qPL_Fact!$A:$A,K$3)</f>
        <v/>
      </c>
      <c r="L33" s="37">
        <f>SUMIFS(qPL_Fact!$D:$D,qPL_Fact!$C:$C,$B33,qPL_Fact!$A:$A,L$3)</f>
        <v/>
      </c>
      <c r="M33" s="37">
        <f>SUMIFS(qPL_Fact!$D:$D,qPL_Fact!$C:$C,$B33,qPL_Fact!$A:$A,M$3)</f>
        <v/>
      </c>
      <c r="N33" s="37">
        <f>SUMIFS(qPL_Fact!$D:$D,qPL_Fact!$C:$C,$B33,qPL_Fact!$A:$A,N$3)</f>
        <v/>
      </c>
      <c r="O33" s="37">
        <f>SUMIFS(qPL_Fact!$D:$D,qPL_Fact!$C:$C,$B33,qPL_Fact!$A:$A,O$3)</f>
        <v/>
      </c>
      <c r="P33" s="37">
        <f>SUMIFS(qPL_Fact!$D:$D,qPL_Fact!$C:$C,$B33,qPL_Fact!$A:$A,P$3)</f>
        <v/>
      </c>
      <c r="Q33" s="37">
        <f>SUMIFS(qPL_Fact!$D:$D,qPL_Fact!$C:$C,$B33,qPL_Fact!$A:$A,Q$3)</f>
        <v/>
      </c>
      <c r="R33" s="37">
        <f>SUMIFS(qPL_Fact!$D:$D,qPL_Fact!$C:$C,$B33,qPL_Fact!$A:$A,R$3)</f>
        <v/>
      </c>
      <c r="S33" s="37">
        <f>SUMIFS(qPL_Fact!$D:$D,qPL_Fact!$C:$C,$B33,qPL_Fact!$A:$A,S$3)</f>
        <v/>
      </c>
      <c r="T33" s="37">
        <f>SUMIFS(qPL_Fact!$D:$D,qPL_Fact!$C:$C,$B33,qPL_Fact!$A:$A,T$3)</f>
        <v/>
      </c>
    </row>
    <row r="34">
      <c r="A34" s="11" t="inlineStr">
        <is>
          <t>6173</t>
        </is>
      </c>
      <c r="B34" s="12" t="inlineStr">
        <is>
          <t>Water</t>
        </is>
      </c>
      <c r="C34" s="38">
        <f>SUM(I34:T34)</f>
        <v/>
      </c>
      <c r="D34" s="38">
        <f>SUMIFS(qPL_Fact!$D:$D,qPL_Fact!$C:$C,$B34,qPL_Fact!$A:$A,D$3)</f>
        <v/>
      </c>
      <c r="E34" s="38">
        <f>SUMIFS(qPL_Fact!$D:$D,qPL_Fact!$C:$C,$B34,qPL_Fact!$A:$A,E$3)</f>
        <v/>
      </c>
      <c r="F34" s="38">
        <f>SUMIFS(qPL_Fact!$D:$D,qPL_Fact!$C:$C,$B34,qPL_Fact!$A:$A,F$3)</f>
        <v/>
      </c>
      <c r="G34" s="38">
        <f>SUMIFS(qPL_Fact!$D:$D,qPL_Fact!$C:$C,$B34,qPL_Fact!$A:$A,G$3)</f>
        <v/>
      </c>
      <c r="H34" s="38">
        <f>SUMIFS(qPL_Fact!$D:$D,qPL_Fact!$C:$C,$B34,qPL_Fact!$A:$A,H$3)</f>
        <v/>
      </c>
      <c r="I34" s="38">
        <f>SUMIFS(qPL_Fact!$D:$D,qPL_Fact!$C:$C,$B34,qPL_Fact!$A:$A,I$3)</f>
        <v/>
      </c>
      <c r="J34" s="38">
        <f>SUMIFS(qPL_Fact!$D:$D,qPL_Fact!$C:$C,$B34,qPL_Fact!$A:$A,J$3)</f>
        <v/>
      </c>
      <c r="K34" s="38">
        <f>SUMIFS(qPL_Fact!$D:$D,qPL_Fact!$C:$C,$B34,qPL_Fact!$A:$A,K$3)</f>
        <v/>
      </c>
      <c r="L34" s="38">
        <f>SUMIFS(qPL_Fact!$D:$D,qPL_Fact!$C:$C,$B34,qPL_Fact!$A:$A,L$3)</f>
        <v/>
      </c>
      <c r="M34" s="38">
        <f>SUMIFS(qPL_Fact!$D:$D,qPL_Fact!$C:$C,$B34,qPL_Fact!$A:$A,M$3)</f>
        <v/>
      </c>
      <c r="N34" s="38">
        <f>SUMIFS(qPL_Fact!$D:$D,qPL_Fact!$C:$C,$B34,qPL_Fact!$A:$A,N$3)</f>
        <v/>
      </c>
      <c r="O34" s="38">
        <f>SUMIFS(qPL_Fact!$D:$D,qPL_Fact!$C:$C,$B34,qPL_Fact!$A:$A,O$3)</f>
        <v/>
      </c>
      <c r="P34" s="38">
        <f>SUMIFS(qPL_Fact!$D:$D,qPL_Fact!$C:$C,$B34,qPL_Fact!$A:$A,P$3)</f>
        <v/>
      </c>
      <c r="Q34" s="38">
        <f>SUMIFS(qPL_Fact!$D:$D,qPL_Fact!$C:$C,$B34,qPL_Fact!$A:$A,Q$3)</f>
        <v/>
      </c>
      <c r="R34" s="38">
        <f>SUMIFS(qPL_Fact!$D:$D,qPL_Fact!$C:$C,$B34,qPL_Fact!$A:$A,R$3)</f>
        <v/>
      </c>
      <c r="S34" s="38">
        <f>SUMIFS(qPL_Fact!$D:$D,qPL_Fact!$C:$C,$B34,qPL_Fact!$A:$A,S$3)</f>
        <v/>
      </c>
      <c r="T34" s="38">
        <f>SUMIFS(qPL_Fact!$D:$D,qPL_Fact!$C:$C,$B34,qPL_Fact!$A:$A,T$3)</f>
        <v/>
      </c>
    </row>
    <row r="35">
      <c r="A35" s="8" t="inlineStr">
        <is>
          <t>6175</t>
        </is>
      </c>
      <c r="B35" s="10" t="inlineStr">
        <is>
          <t>Garbage &amp; Recycling</t>
        </is>
      </c>
      <c r="C35" s="37">
        <f>SUM(I35:T35)</f>
        <v/>
      </c>
      <c r="D35" s="37">
        <f>SUMIFS(qPL_Fact!$D:$D,qPL_Fact!$C:$C,$B35,qPL_Fact!$A:$A,D$3)</f>
        <v/>
      </c>
      <c r="E35" s="37">
        <f>SUMIFS(qPL_Fact!$D:$D,qPL_Fact!$C:$C,$B35,qPL_Fact!$A:$A,E$3)</f>
        <v/>
      </c>
      <c r="F35" s="37">
        <f>SUMIFS(qPL_Fact!$D:$D,qPL_Fact!$C:$C,$B35,qPL_Fact!$A:$A,F$3)</f>
        <v/>
      </c>
      <c r="G35" s="37">
        <f>SUMIFS(qPL_Fact!$D:$D,qPL_Fact!$C:$C,$B35,qPL_Fact!$A:$A,G$3)</f>
        <v/>
      </c>
      <c r="H35" s="37">
        <f>SUMIFS(qPL_Fact!$D:$D,qPL_Fact!$C:$C,$B35,qPL_Fact!$A:$A,H$3)</f>
        <v/>
      </c>
      <c r="I35" s="37">
        <f>SUMIFS(qPL_Fact!$D:$D,qPL_Fact!$C:$C,$B35,qPL_Fact!$A:$A,I$3)</f>
        <v/>
      </c>
      <c r="J35" s="37">
        <f>SUMIFS(qPL_Fact!$D:$D,qPL_Fact!$C:$C,$B35,qPL_Fact!$A:$A,J$3)</f>
        <v/>
      </c>
      <c r="K35" s="37">
        <f>SUMIFS(qPL_Fact!$D:$D,qPL_Fact!$C:$C,$B35,qPL_Fact!$A:$A,K$3)</f>
        <v/>
      </c>
      <c r="L35" s="37">
        <f>SUMIFS(qPL_Fact!$D:$D,qPL_Fact!$C:$C,$B35,qPL_Fact!$A:$A,L$3)</f>
        <v/>
      </c>
      <c r="M35" s="37">
        <f>SUMIFS(qPL_Fact!$D:$D,qPL_Fact!$C:$C,$B35,qPL_Fact!$A:$A,M$3)</f>
        <v/>
      </c>
      <c r="N35" s="37">
        <f>SUMIFS(qPL_Fact!$D:$D,qPL_Fact!$C:$C,$B35,qPL_Fact!$A:$A,N$3)</f>
        <v/>
      </c>
      <c r="O35" s="37">
        <f>SUMIFS(qPL_Fact!$D:$D,qPL_Fact!$C:$C,$B35,qPL_Fact!$A:$A,O$3)</f>
        <v/>
      </c>
      <c r="P35" s="37">
        <f>SUMIFS(qPL_Fact!$D:$D,qPL_Fact!$C:$C,$B35,qPL_Fact!$A:$A,P$3)</f>
        <v/>
      </c>
      <c r="Q35" s="37">
        <f>SUMIFS(qPL_Fact!$D:$D,qPL_Fact!$C:$C,$B35,qPL_Fact!$A:$A,Q$3)</f>
        <v/>
      </c>
      <c r="R35" s="37">
        <f>SUMIFS(qPL_Fact!$D:$D,qPL_Fact!$C:$C,$B35,qPL_Fact!$A:$A,R$3)</f>
        <v/>
      </c>
      <c r="S35" s="37">
        <f>SUMIFS(qPL_Fact!$D:$D,qPL_Fact!$C:$C,$B35,qPL_Fact!$A:$A,S$3)</f>
        <v/>
      </c>
      <c r="T35" s="37">
        <f>SUMIFS(qPL_Fact!$D:$D,qPL_Fact!$C:$C,$B35,qPL_Fact!$A:$A,T$3)</f>
        <v/>
      </c>
    </row>
    <row r="36">
      <c r="A36" s="11" t="inlineStr">
        <is>
          <t>6176</t>
        </is>
      </c>
      <c r="B36" s="12" t="inlineStr">
        <is>
          <t>Internet</t>
        </is>
      </c>
      <c r="C36" s="38">
        <f>SUM(I36:T36)</f>
        <v/>
      </c>
      <c r="D36" s="38">
        <f>SUMIFS(qPL_Fact!$D:$D,qPL_Fact!$C:$C,$B36,qPL_Fact!$A:$A,D$3)</f>
        <v/>
      </c>
      <c r="E36" s="38">
        <f>SUMIFS(qPL_Fact!$D:$D,qPL_Fact!$C:$C,$B36,qPL_Fact!$A:$A,E$3)</f>
        <v/>
      </c>
      <c r="F36" s="38">
        <f>SUMIFS(qPL_Fact!$D:$D,qPL_Fact!$C:$C,$B36,qPL_Fact!$A:$A,F$3)</f>
        <v/>
      </c>
      <c r="G36" s="38">
        <f>SUMIFS(qPL_Fact!$D:$D,qPL_Fact!$C:$C,$B36,qPL_Fact!$A:$A,G$3)</f>
        <v/>
      </c>
      <c r="H36" s="38">
        <f>SUMIFS(qPL_Fact!$D:$D,qPL_Fact!$C:$C,$B36,qPL_Fact!$A:$A,H$3)</f>
        <v/>
      </c>
      <c r="I36" s="38">
        <f>SUMIFS(qPL_Fact!$D:$D,qPL_Fact!$C:$C,$B36,qPL_Fact!$A:$A,I$3)</f>
        <v/>
      </c>
      <c r="J36" s="38">
        <f>SUMIFS(qPL_Fact!$D:$D,qPL_Fact!$C:$C,$B36,qPL_Fact!$A:$A,J$3)</f>
        <v/>
      </c>
      <c r="K36" s="38">
        <f>SUMIFS(qPL_Fact!$D:$D,qPL_Fact!$C:$C,$B36,qPL_Fact!$A:$A,K$3)</f>
        <v/>
      </c>
      <c r="L36" s="38">
        <f>SUMIFS(qPL_Fact!$D:$D,qPL_Fact!$C:$C,$B36,qPL_Fact!$A:$A,L$3)</f>
        <v/>
      </c>
      <c r="M36" s="38">
        <f>SUMIFS(qPL_Fact!$D:$D,qPL_Fact!$C:$C,$B36,qPL_Fact!$A:$A,M$3)</f>
        <v/>
      </c>
      <c r="N36" s="38">
        <f>SUMIFS(qPL_Fact!$D:$D,qPL_Fact!$C:$C,$B36,qPL_Fact!$A:$A,N$3)</f>
        <v/>
      </c>
      <c r="O36" s="38">
        <f>SUMIFS(qPL_Fact!$D:$D,qPL_Fact!$C:$C,$B36,qPL_Fact!$A:$A,O$3)</f>
        <v/>
      </c>
      <c r="P36" s="38">
        <f>SUMIFS(qPL_Fact!$D:$D,qPL_Fact!$C:$C,$B36,qPL_Fact!$A:$A,P$3)</f>
        <v/>
      </c>
      <c r="Q36" s="38">
        <f>SUMIFS(qPL_Fact!$D:$D,qPL_Fact!$C:$C,$B36,qPL_Fact!$A:$A,Q$3)</f>
        <v/>
      </c>
      <c r="R36" s="38">
        <f>SUMIFS(qPL_Fact!$D:$D,qPL_Fact!$C:$C,$B36,qPL_Fact!$A:$A,R$3)</f>
        <v/>
      </c>
      <c r="S36" s="38">
        <f>SUMIFS(qPL_Fact!$D:$D,qPL_Fact!$C:$C,$B36,qPL_Fact!$A:$A,S$3)</f>
        <v/>
      </c>
      <c r="T36" s="38">
        <f>SUMIFS(qPL_Fact!$D:$D,qPL_Fact!$C:$C,$B36,qPL_Fact!$A:$A,T$3)</f>
        <v/>
      </c>
    </row>
    <row r="37">
      <c r="A37" s="8" t="inlineStr">
        <is>
          <t>6111</t>
        </is>
      </c>
      <c r="B37" s="10" t="inlineStr">
        <is>
          <t>Management Fee (4%)</t>
        </is>
      </c>
      <c r="C37" s="37">
        <f>SUM(I37:T37)</f>
        <v/>
      </c>
      <c r="D37" s="37">
        <f>SUMIFS(qPL_Fact!$D:$D,qPL_Fact!$C:$C,$B37,qPL_Fact!$A:$A,D$3)</f>
        <v/>
      </c>
      <c r="E37" s="37">
        <f>SUMIFS(qPL_Fact!$D:$D,qPL_Fact!$C:$C,$B37,qPL_Fact!$A:$A,E$3)</f>
        <v/>
      </c>
      <c r="F37" s="37">
        <f>SUMIFS(qPL_Fact!$D:$D,qPL_Fact!$C:$C,$B37,qPL_Fact!$A:$A,F$3)</f>
        <v/>
      </c>
      <c r="G37" s="37">
        <f>SUMIFS(qPL_Fact!$D:$D,qPL_Fact!$C:$C,$B37,qPL_Fact!$A:$A,G$3)</f>
        <v/>
      </c>
      <c r="H37" s="37">
        <f>SUMIFS(qPL_Fact!$D:$D,qPL_Fact!$C:$C,$B37,qPL_Fact!$A:$A,H$3)</f>
        <v/>
      </c>
      <c r="I37" s="37">
        <f>SUMIFS(qPL_Fact!$D:$D,qPL_Fact!$C:$C,$B37,qPL_Fact!$A:$A,I$3)</f>
        <v/>
      </c>
      <c r="J37" s="37">
        <f>SUMIFS(qPL_Fact!$D:$D,qPL_Fact!$C:$C,$B37,qPL_Fact!$A:$A,J$3)</f>
        <v/>
      </c>
      <c r="K37" s="37">
        <f>SUMIFS(qPL_Fact!$D:$D,qPL_Fact!$C:$C,$B37,qPL_Fact!$A:$A,K$3)</f>
        <v/>
      </c>
      <c r="L37" s="37">
        <f>SUMIFS(qPL_Fact!$D:$D,qPL_Fact!$C:$C,$B37,qPL_Fact!$A:$A,L$3)</f>
        <v/>
      </c>
      <c r="M37" s="37">
        <f>SUMIFS(qPL_Fact!$D:$D,qPL_Fact!$C:$C,$B37,qPL_Fact!$A:$A,M$3)</f>
        <v/>
      </c>
      <c r="N37" s="37">
        <f>SUMIFS(qPL_Fact!$D:$D,qPL_Fact!$C:$C,$B37,qPL_Fact!$A:$A,N$3)</f>
        <v/>
      </c>
      <c r="O37" s="37">
        <f>SUMIFS(qPL_Fact!$D:$D,qPL_Fact!$C:$C,$B37,qPL_Fact!$A:$A,O$3)</f>
        <v/>
      </c>
      <c r="P37" s="37">
        <f>SUMIFS(qPL_Fact!$D:$D,qPL_Fact!$C:$C,$B37,qPL_Fact!$A:$A,P$3)</f>
        <v/>
      </c>
      <c r="Q37" s="37">
        <f>SUMIFS(qPL_Fact!$D:$D,qPL_Fact!$C:$C,$B37,qPL_Fact!$A:$A,Q$3)</f>
        <v/>
      </c>
      <c r="R37" s="37">
        <f>SUMIFS(qPL_Fact!$D:$D,qPL_Fact!$C:$C,$B37,qPL_Fact!$A:$A,R$3)</f>
        <v/>
      </c>
      <c r="S37" s="37">
        <f>SUMIFS(qPL_Fact!$D:$D,qPL_Fact!$C:$C,$B37,qPL_Fact!$A:$A,S$3)</f>
        <v/>
      </c>
      <c r="T37" s="37">
        <f>SUMIFS(qPL_Fact!$D:$D,qPL_Fact!$C:$C,$B37,qPL_Fact!$A:$A,T$3)</f>
        <v/>
      </c>
    </row>
    <row r="38">
      <c r="A38" s="11" t="inlineStr">
        <is>
          <t>6073</t>
        </is>
      </c>
      <c r="B38" s="12" t="inlineStr">
        <is>
          <t>General Maint. Labor</t>
        </is>
      </c>
      <c r="C38" s="38">
        <f>SUM(I38:T38)</f>
        <v/>
      </c>
      <c r="D38" s="38">
        <f>SUMIFS(qPL_Fact!$D:$D,qPL_Fact!$C:$C,$B38,qPL_Fact!$A:$A,D$3)</f>
        <v/>
      </c>
      <c r="E38" s="38">
        <f>SUMIFS(qPL_Fact!$D:$D,qPL_Fact!$C:$C,$B38,qPL_Fact!$A:$A,E$3)</f>
        <v/>
      </c>
      <c r="F38" s="38">
        <f>SUMIFS(qPL_Fact!$D:$D,qPL_Fact!$C:$C,$B38,qPL_Fact!$A:$A,F$3)</f>
        <v/>
      </c>
      <c r="G38" s="38">
        <f>SUMIFS(qPL_Fact!$D:$D,qPL_Fact!$C:$C,$B38,qPL_Fact!$A:$A,G$3)</f>
        <v/>
      </c>
      <c r="H38" s="38">
        <f>SUMIFS(qPL_Fact!$D:$D,qPL_Fact!$C:$C,$B38,qPL_Fact!$A:$A,H$3)</f>
        <v/>
      </c>
      <c r="I38" s="38">
        <f>SUMIFS(qPL_Fact!$D:$D,qPL_Fact!$C:$C,$B38,qPL_Fact!$A:$A,I$3)</f>
        <v/>
      </c>
      <c r="J38" s="38">
        <f>SUMIFS(qPL_Fact!$D:$D,qPL_Fact!$C:$C,$B38,qPL_Fact!$A:$A,J$3)</f>
        <v/>
      </c>
      <c r="K38" s="38">
        <f>SUMIFS(qPL_Fact!$D:$D,qPL_Fact!$C:$C,$B38,qPL_Fact!$A:$A,K$3)</f>
        <v/>
      </c>
      <c r="L38" s="38">
        <f>SUMIFS(qPL_Fact!$D:$D,qPL_Fact!$C:$C,$B38,qPL_Fact!$A:$A,L$3)</f>
        <v/>
      </c>
      <c r="M38" s="38">
        <f>SUMIFS(qPL_Fact!$D:$D,qPL_Fact!$C:$C,$B38,qPL_Fact!$A:$A,M$3)</f>
        <v/>
      </c>
      <c r="N38" s="38">
        <f>SUMIFS(qPL_Fact!$D:$D,qPL_Fact!$C:$C,$B38,qPL_Fact!$A:$A,N$3)</f>
        <v/>
      </c>
      <c r="O38" s="38">
        <f>SUMIFS(qPL_Fact!$D:$D,qPL_Fact!$C:$C,$B38,qPL_Fact!$A:$A,O$3)</f>
        <v/>
      </c>
      <c r="P38" s="38">
        <f>SUMIFS(qPL_Fact!$D:$D,qPL_Fact!$C:$C,$B38,qPL_Fact!$A:$A,P$3)</f>
        <v/>
      </c>
      <c r="Q38" s="38">
        <f>SUMIFS(qPL_Fact!$D:$D,qPL_Fact!$C:$C,$B38,qPL_Fact!$A:$A,Q$3)</f>
        <v/>
      </c>
      <c r="R38" s="38">
        <f>SUMIFS(qPL_Fact!$D:$D,qPL_Fact!$C:$C,$B38,qPL_Fact!$A:$A,R$3)</f>
        <v/>
      </c>
      <c r="S38" s="38">
        <f>SUMIFS(qPL_Fact!$D:$D,qPL_Fact!$C:$C,$B38,qPL_Fact!$A:$A,S$3)</f>
        <v/>
      </c>
      <c r="T38" s="38">
        <f>SUMIFS(qPL_Fact!$D:$D,qPL_Fact!$C:$C,$B38,qPL_Fact!$A:$A,T$3)</f>
        <v/>
      </c>
    </row>
    <row r="39">
      <c r="A39" s="8" t="inlineStr">
        <is>
          <t>6074</t>
        </is>
      </c>
      <c r="B39" s="10" t="inlineStr">
        <is>
          <t>Landscaping</t>
        </is>
      </c>
      <c r="C39" s="37">
        <f>SUM(I39:T39)</f>
        <v/>
      </c>
      <c r="D39" s="37">
        <f>SUMIFS(qPL_Fact!$D:$D,qPL_Fact!$C:$C,$B39,qPL_Fact!$A:$A,D$3)</f>
        <v/>
      </c>
      <c r="E39" s="37">
        <f>SUMIFS(qPL_Fact!$D:$D,qPL_Fact!$C:$C,$B39,qPL_Fact!$A:$A,E$3)</f>
        <v/>
      </c>
      <c r="F39" s="37">
        <f>SUMIFS(qPL_Fact!$D:$D,qPL_Fact!$C:$C,$B39,qPL_Fact!$A:$A,F$3)</f>
        <v/>
      </c>
      <c r="G39" s="37">
        <f>SUMIFS(qPL_Fact!$D:$D,qPL_Fact!$C:$C,$B39,qPL_Fact!$A:$A,G$3)</f>
        <v/>
      </c>
      <c r="H39" s="37">
        <f>SUMIFS(qPL_Fact!$D:$D,qPL_Fact!$C:$C,$B39,qPL_Fact!$A:$A,H$3)</f>
        <v/>
      </c>
      <c r="I39" s="37">
        <f>SUMIFS(qPL_Fact!$D:$D,qPL_Fact!$C:$C,$B39,qPL_Fact!$A:$A,I$3)</f>
        <v/>
      </c>
      <c r="J39" s="37">
        <f>SUMIFS(qPL_Fact!$D:$D,qPL_Fact!$C:$C,$B39,qPL_Fact!$A:$A,J$3)</f>
        <v/>
      </c>
      <c r="K39" s="37">
        <f>SUMIFS(qPL_Fact!$D:$D,qPL_Fact!$C:$C,$B39,qPL_Fact!$A:$A,K$3)</f>
        <v/>
      </c>
      <c r="L39" s="37">
        <f>SUMIFS(qPL_Fact!$D:$D,qPL_Fact!$C:$C,$B39,qPL_Fact!$A:$A,L$3)</f>
        <v/>
      </c>
      <c r="M39" s="37">
        <f>SUMIFS(qPL_Fact!$D:$D,qPL_Fact!$C:$C,$B39,qPL_Fact!$A:$A,M$3)</f>
        <v/>
      </c>
      <c r="N39" s="37">
        <f>SUMIFS(qPL_Fact!$D:$D,qPL_Fact!$C:$C,$B39,qPL_Fact!$A:$A,N$3)</f>
        <v/>
      </c>
      <c r="O39" s="37">
        <f>SUMIFS(qPL_Fact!$D:$D,qPL_Fact!$C:$C,$B39,qPL_Fact!$A:$A,O$3)</f>
        <v/>
      </c>
      <c r="P39" s="37">
        <f>SUMIFS(qPL_Fact!$D:$D,qPL_Fact!$C:$C,$B39,qPL_Fact!$A:$A,P$3)</f>
        <v/>
      </c>
      <c r="Q39" s="37">
        <f>SUMIFS(qPL_Fact!$D:$D,qPL_Fact!$C:$C,$B39,qPL_Fact!$A:$A,Q$3)</f>
        <v/>
      </c>
      <c r="R39" s="37">
        <f>SUMIFS(qPL_Fact!$D:$D,qPL_Fact!$C:$C,$B39,qPL_Fact!$A:$A,R$3)</f>
        <v/>
      </c>
      <c r="S39" s="37">
        <f>SUMIFS(qPL_Fact!$D:$D,qPL_Fact!$C:$C,$B39,qPL_Fact!$A:$A,S$3)</f>
        <v/>
      </c>
      <c r="T39" s="37">
        <f>SUMIFS(qPL_Fact!$D:$D,qPL_Fact!$C:$C,$B39,qPL_Fact!$A:$A,T$3)</f>
        <v/>
      </c>
    </row>
    <row r="40">
      <c r="A40" s="11" t="inlineStr">
        <is>
          <t>6076</t>
        </is>
      </c>
      <c r="B40" s="12" t="inlineStr">
        <is>
          <t>Cleaning &amp; Maint</t>
        </is>
      </c>
      <c r="C40" s="38">
        <f>SUM(I40:T40)</f>
        <v/>
      </c>
      <c r="D40" s="38">
        <f>SUMIFS(qPL_Fact!$D:$D,qPL_Fact!$C:$C,$B40,qPL_Fact!$A:$A,D$3)</f>
        <v/>
      </c>
      <c r="E40" s="38">
        <f>SUMIFS(qPL_Fact!$D:$D,qPL_Fact!$C:$C,$B40,qPL_Fact!$A:$A,E$3)</f>
        <v/>
      </c>
      <c r="F40" s="38">
        <f>SUMIFS(qPL_Fact!$D:$D,qPL_Fact!$C:$C,$B40,qPL_Fact!$A:$A,F$3)</f>
        <v/>
      </c>
      <c r="G40" s="38">
        <f>SUMIFS(qPL_Fact!$D:$D,qPL_Fact!$C:$C,$B40,qPL_Fact!$A:$A,G$3)</f>
        <v/>
      </c>
      <c r="H40" s="38">
        <f>SUMIFS(qPL_Fact!$D:$D,qPL_Fact!$C:$C,$B40,qPL_Fact!$A:$A,H$3)</f>
        <v/>
      </c>
      <c r="I40" s="38">
        <f>SUMIFS(qPL_Fact!$D:$D,qPL_Fact!$C:$C,$B40,qPL_Fact!$A:$A,I$3)</f>
        <v/>
      </c>
      <c r="J40" s="38">
        <f>SUMIFS(qPL_Fact!$D:$D,qPL_Fact!$C:$C,$B40,qPL_Fact!$A:$A,J$3)</f>
        <v/>
      </c>
      <c r="K40" s="38">
        <f>SUMIFS(qPL_Fact!$D:$D,qPL_Fact!$C:$C,$B40,qPL_Fact!$A:$A,K$3)</f>
        <v/>
      </c>
      <c r="L40" s="38">
        <f>SUMIFS(qPL_Fact!$D:$D,qPL_Fact!$C:$C,$B40,qPL_Fact!$A:$A,L$3)</f>
        <v/>
      </c>
      <c r="M40" s="38">
        <f>SUMIFS(qPL_Fact!$D:$D,qPL_Fact!$C:$C,$B40,qPL_Fact!$A:$A,M$3)</f>
        <v/>
      </c>
      <c r="N40" s="38">
        <f>SUMIFS(qPL_Fact!$D:$D,qPL_Fact!$C:$C,$B40,qPL_Fact!$A:$A,N$3)</f>
        <v/>
      </c>
      <c r="O40" s="38">
        <f>SUMIFS(qPL_Fact!$D:$D,qPL_Fact!$C:$C,$B40,qPL_Fact!$A:$A,O$3)</f>
        <v/>
      </c>
      <c r="P40" s="38">
        <f>SUMIFS(qPL_Fact!$D:$D,qPL_Fact!$C:$C,$B40,qPL_Fact!$A:$A,P$3)</f>
        <v/>
      </c>
      <c r="Q40" s="38">
        <f>SUMIFS(qPL_Fact!$D:$D,qPL_Fact!$C:$C,$B40,qPL_Fact!$A:$A,Q$3)</f>
        <v/>
      </c>
      <c r="R40" s="38">
        <f>SUMIFS(qPL_Fact!$D:$D,qPL_Fact!$C:$C,$B40,qPL_Fact!$A:$A,R$3)</f>
        <v/>
      </c>
      <c r="S40" s="38">
        <f>SUMIFS(qPL_Fact!$D:$D,qPL_Fact!$C:$C,$B40,qPL_Fact!$A:$A,S$3)</f>
        <v/>
      </c>
      <c r="T40" s="38">
        <f>SUMIFS(qPL_Fact!$D:$D,qPL_Fact!$C:$C,$B40,qPL_Fact!$A:$A,T$3)</f>
        <v/>
      </c>
    </row>
    <row r="41">
      <c r="A41" s="8" t="inlineStr">
        <is>
          <t>6077</t>
        </is>
      </c>
      <c r="B41" s="10" t="inlineStr">
        <is>
          <t>Common Area Cleaning</t>
        </is>
      </c>
      <c r="C41" s="37">
        <f>SUM(I41:T41)</f>
        <v/>
      </c>
      <c r="D41" s="37">
        <f>SUMIFS(qPL_Fact!$D:$D,qPL_Fact!$C:$C,$B41,qPL_Fact!$A:$A,D$3)</f>
        <v/>
      </c>
      <c r="E41" s="37">
        <f>SUMIFS(qPL_Fact!$D:$D,qPL_Fact!$C:$C,$B41,qPL_Fact!$A:$A,E$3)</f>
        <v/>
      </c>
      <c r="F41" s="37">
        <f>SUMIFS(qPL_Fact!$D:$D,qPL_Fact!$C:$C,$B41,qPL_Fact!$A:$A,F$3)</f>
        <v/>
      </c>
      <c r="G41" s="37">
        <f>SUMIFS(qPL_Fact!$D:$D,qPL_Fact!$C:$C,$B41,qPL_Fact!$A:$A,G$3)</f>
        <v/>
      </c>
      <c r="H41" s="37">
        <f>SUMIFS(qPL_Fact!$D:$D,qPL_Fact!$C:$C,$B41,qPL_Fact!$A:$A,H$3)</f>
        <v/>
      </c>
      <c r="I41" s="37">
        <f>SUMIFS(qPL_Fact!$D:$D,qPL_Fact!$C:$C,$B41,qPL_Fact!$A:$A,I$3)</f>
        <v/>
      </c>
      <c r="J41" s="37">
        <f>SUMIFS(qPL_Fact!$D:$D,qPL_Fact!$C:$C,$B41,qPL_Fact!$A:$A,J$3)</f>
        <v/>
      </c>
      <c r="K41" s="37">
        <f>SUMIFS(qPL_Fact!$D:$D,qPL_Fact!$C:$C,$B41,qPL_Fact!$A:$A,K$3)</f>
        <v/>
      </c>
      <c r="L41" s="37">
        <f>SUMIFS(qPL_Fact!$D:$D,qPL_Fact!$C:$C,$B41,qPL_Fact!$A:$A,L$3)</f>
        <v/>
      </c>
      <c r="M41" s="37">
        <f>SUMIFS(qPL_Fact!$D:$D,qPL_Fact!$C:$C,$B41,qPL_Fact!$A:$A,M$3)</f>
        <v/>
      </c>
      <c r="N41" s="37">
        <f>SUMIFS(qPL_Fact!$D:$D,qPL_Fact!$C:$C,$B41,qPL_Fact!$A:$A,N$3)</f>
        <v/>
      </c>
      <c r="O41" s="37">
        <f>SUMIFS(qPL_Fact!$D:$D,qPL_Fact!$C:$C,$B41,qPL_Fact!$A:$A,O$3)</f>
        <v/>
      </c>
      <c r="P41" s="37">
        <f>SUMIFS(qPL_Fact!$D:$D,qPL_Fact!$C:$C,$B41,qPL_Fact!$A:$A,P$3)</f>
        <v/>
      </c>
      <c r="Q41" s="37">
        <f>SUMIFS(qPL_Fact!$D:$D,qPL_Fact!$C:$C,$B41,qPL_Fact!$A:$A,Q$3)</f>
        <v/>
      </c>
      <c r="R41" s="37">
        <f>SUMIFS(qPL_Fact!$D:$D,qPL_Fact!$C:$C,$B41,qPL_Fact!$A:$A,R$3)</f>
        <v/>
      </c>
      <c r="S41" s="37">
        <f>SUMIFS(qPL_Fact!$D:$D,qPL_Fact!$C:$C,$B41,qPL_Fact!$A:$A,S$3)</f>
        <v/>
      </c>
      <c r="T41" s="37">
        <f>SUMIFS(qPL_Fact!$D:$D,qPL_Fact!$C:$C,$B41,qPL_Fact!$A:$A,T$3)</f>
        <v/>
      </c>
    </row>
    <row r="42">
      <c r="A42" s="11" t="inlineStr">
        <is>
          <t>6078</t>
        </is>
      </c>
      <c r="B42" s="12" t="inlineStr">
        <is>
          <t>Pest Control</t>
        </is>
      </c>
      <c r="C42" s="38">
        <f>SUM(I42:T42)</f>
        <v/>
      </c>
      <c r="D42" s="38">
        <f>SUMIFS(qPL_Fact!$D:$D,qPL_Fact!$C:$C,$B42,qPL_Fact!$A:$A,D$3)</f>
        <v/>
      </c>
      <c r="E42" s="38">
        <f>SUMIFS(qPL_Fact!$D:$D,qPL_Fact!$C:$C,$B42,qPL_Fact!$A:$A,E$3)</f>
        <v/>
      </c>
      <c r="F42" s="38">
        <f>SUMIFS(qPL_Fact!$D:$D,qPL_Fact!$C:$C,$B42,qPL_Fact!$A:$A,F$3)</f>
        <v/>
      </c>
      <c r="G42" s="38">
        <f>SUMIFS(qPL_Fact!$D:$D,qPL_Fact!$C:$C,$B42,qPL_Fact!$A:$A,G$3)</f>
        <v/>
      </c>
      <c r="H42" s="38">
        <f>SUMIFS(qPL_Fact!$D:$D,qPL_Fact!$C:$C,$B42,qPL_Fact!$A:$A,H$3)</f>
        <v/>
      </c>
      <c r="I42" s="38">
        <f>SUMIFS(qPL_Fact!$D:$D,qPL_Fact!$C:$C,$B42,qPL_Fact!$A:$A,I$3)</f>
        <v/>
      </c>
      <c r="J42" s="38">
        <f>SUMIFS(qPL_Fact!$D:$D,qPL_Fact!$C:$C,$B42,qPL_Fact!$A:$A,J$3)</f>
        <v/>
      </c>
      <c r="K42" s="38">
        <f>SUMIFS(qPL_Fact!$D:$D,qPL_Fact!$C:$C,$B42,qPL_Fact!$A:$A,K$3)</f>
        <v/>
      </c>
      <c r="L42" s="38">
        <f>SUMIFS(qPL_Fact!$D:$D,qPL_Fact!$C:$C,$B42,qPL_Fact!$A:$A,L$3)</f>
        <v/>
      </c>
      <c r="M42" s="38">
        <f>SUMIFS(qPL_Fact!$D:$D,qPL_Fact!$C:$C,$B42,qPL_Fact!$A:$A,M$3)</f>
        <v/>
      </c>
      <c r="N42" s="38">
        <f>SUMIFS(qPL_Fact!$D:$D,qPL_Fact!$C:$C,$B42,qPL_Fact!$A:$A,N$3)</f>
        <v/>
      </c>
      <c r="O42" s="38">
        <f>SUMIFS(qPL_Fact!$D:$D,qPL_Fact!$C:$C,$B42,qPL_Fact!$A:$A,O$3)</f>
        <v/>
      </c>
      <c r="P42" s="38">
        <f>SUMIFS(qPL_Fact!$D:$D,qPL_Fact!$C:$C,$B42,qPL_Fact!$A:$A,P$3)</f>
        <v/>
      </c>
      <c r="Q42" s="38">
        <f>SUMIFS(qPL_Fact!$D:$D,qPL_Fact!$C:$C,$B42,qPL_Fact!$A:$A,Q$3)</f>
        <v/>
      </c>
      <c r="R42" s="38">
        <f>SUMIFS(qPL_Fact!$D:$D,qPL_Fact!$C:$C,$B42,qPL_Fact!$A:$A,R$3)</f>
        <v/>
      </c>
      <c r="S42" s="38">
        <f>SUMIFS(qPL_Fact!$D:$D,qPL_Fact!$C:$C,$B42,qPL_Fact!$A:$A,S$3)</f>
        <v/>
      </c>
      <c r="T42" s="38">
        <f>SUMIFS(qPL_Fact!$D:$D,qPL_Fact!$C:$C,$B42,qPL_Fact!$A:$A,T$3)</f>
        <v/>
      </c>
    </row>
    <row r="43">
      <c r="A43" s="8" t="inlineStr">
        <is>
          <t>6071</t>
        </is>
      </c>
      <c r="B43" s="10" t="inlineStr">
        <is>
          <t>Carpet Cleaning</t>
        </is>
      </c>
      <c r="C43" s="37">
        <f>SUM(I43:T43)</f>
        <v/>
      </c>
      <c r="D43" s="37">
        <f>SUMIFS(qPL_Fact!$D:$D,qPL_Fact!$C:$C,$B43,qPL_Fact!$A:$A,D$3)</f>
        <v/>
      </c>
      <c r="E43" s="37">
        <f>SUMIFS(qPL_Fact!$D:$D,qPL_Fact!$C:$C,$B43,qPL_Fact!$A:$A,E$3)</f>
        <v/>
      </c>
      <c r="F43" s="37">
        <f>SUMIFS(qPL_Fact!$D:$D,qPL_Fact!$C:$C,$B43,qPL_Fact!$A:$A,F$3)</f>
        <v/>
      </c>
      <c r="G43" s="37">
        <f>SUMIFS(qPL_Fact!$D:$D,qPL_Fact!$C:$C,$B43,qPL_Fact!$A:$A,G$3)</f>
        <v/>
      </c>
      <c r="H43" s="37">
        <f>SUMIFS(qPL_Fact!$D:$D,qPL_Fact!$C:$C,$B43,qPL_Fact!$A:$A,H$3)</f>
        <v/>
      </c>
      <c r="I43" s="37">
        <f>SUMIFS(qPL_Fact!$D:$D,qPL_Fact!$C:$C,$B43,qPL_Fact!$A:$A,I$3)</f>
        <v/>
      </c>
      <c r="J43" s="37">
        <f>SUMIFS(qPL_Fact!$D:$D,qPL_Fact!$C:$C,$B43,qPL_Fact!$A:$A,J$3)</f>
        <v/>
      </c>
      <c r="K43" s="37">
        <f>SUMIFS(qPL_Fact!$D:$D,qPL_Fact!$C:$C,$B43,qPL_Fact!$A:$A,K$3)</f>
        <v/>
      </c>
      <c r="L43" s="37">
        <f>SUMIFS(qPL_Fact!$D:$D,qPL_Fact!$C:$C,$B43,qPL_Fact!$A:$A,L$3)</f>
        <v/>
      </c>
      <c r="M43" s="37">
        <f>SUMIFS(qPL_Fact!$D:$D,qPL_Fact!$C:$C,$B43,qPL_Fact!$A:$A,M$3)</f>
        <v/>
      </c>
      <c r="N43" s="37">
        <f>SUMIFS(qPL_Fact!$D:$D,qPL_Fact!$C:$C,$B43,qPL_Fact!$A:$A,N$3)</f>
        <v/>
      </c>
      <c r="O43" s="37">
        <f>SUMIFS(qPL_Fact!$D:$D,qPL_Fact!$C:$C,$B43,qPL_Fact!$A:$A,O$3)</f>
        <v/>
      </c>
      <c r="P43" s="37">
        <f>SUMIFS(qPL_Fact!$D:$D,qPL_Fact!$C:$C,$B43,qPL_Fact!$A:$A,P$3)</f>
        <v/>
      </c>
      <c r="Q43" s="37">
        <f>SUMIFS(qPL_Fact!$D:$D,qPL_Fact!$C:$C,$B43,qPL_Fact!$A:$A,Q$3)</f>
        <v/>
      </c>
      <c r="R43" s="37">
        <f>SUMIFS(qPL_Fact!$D:$D,qPL_Fact!$C:$C,$B43,qPL_Fact!$A:$A,R$3)</f>
        <v/>
      </c>
      <c r="S43" s="37">
        <f>SUMIFS(qPL_Fact!$D:$D,qPL_Fact!$C:$C,$B43,qPL_Fact!$A:$A,S$3)</f>
        <v/>
      </c>
      <c r="T43" s="37">
        <f>SUMIFS(qPL_Fact!$D:$D,qPL_Fact!$C:$C,$B43,qPL_Fact!$A:$A,T$3)</f>
        <v/>
      </c>
    </row>
    <row r="44">
      <c r="A44" s="11" t="inlineStr">
        <is>
          <t>6072</t>
        </is>
      </c>
      <c r="B44" s="12" t="inlineStr">
        <is>
          <t>Janitorial</t>
        </is>
      </c>
      <c r="C44" s="38">
        <f>SUM(I44:T44)</f>
        <v/>
      </c>
      <c r="D44" s="38">
        <f>SUMIFS(qPL_Fact!$D:$D,qPL_Fact!$C:$C,$B44,qPL_Fact!$A:$A,D$3)</f>
        <v/>
      </c>
      <c r="E44" s="38">
        <f>SUMIFS(qPL_Fact!$D:$D,qPL_Fact!$C:$C,$B44,qPL_Fact!$A:$A,E$3)</f>
        <v/>
      </c>
      <c r="F44" s="38">
        <f>SUMIFS(qPL_Fact!$D:$D,qPL_Fact!$C:$C,$B44,qPL_Fact!$A:$A,F$3)</f>
        <v/>
      </c>
      <c r="G44" s="38">
        <f>SUMIFS(qPL_Fact!$D:$D,qPL_Fact!$C:$C,$B44,qPL_Fact!$A:$A,G$3)</f>
        <v/>
      </c>
      <c r="H44" s="38">
        <f>SUMIFS(qPL_Fact!$D:$D,qPL_Fact!$C:$C,$B44,qPL_Fact!$A:$A,H$3)</f>
        <v/>
      </c>
      <c r="I44" s="38">
        <f>SUMIFS(qPL_Fact!$D:$D,qPL_Fact!$C:$C,$B44,qPL_Fact!$A:$A,I$3)</f>
        <v/>
      </c>
      <c r="J44" s="38">
        <f>SUMIFS(qPL_Fact!$D:$D,qPL_Fact!$C:$C,$B44,qPL_Fact!$A:$A,J$3)</f>
        <v/>
      </c>
      <c r="K44" s="38">
        <f>SUMIFS(qPL_Fact!$D:$D,qPL_Fact!$C:$C,$B44,qPL_Fact!$A:$A,K$3)</f>
        <v/>
      </c>
      <c r="L44" s="38">
        <f>SUMIFS(qPL_Fact!$D:$D,qPL_Fact!$C:$C,$B44,qPL_Fact!$A:$A,L$3)</f>
        <v/>
      </c>
      <c r="M44" s="38">
        <f>SUMIFS(qPL_Fact!$D:$D,qPL_Fact!$C:$C,$B44,qPL_Fact!$A:$A,M$3)</f>
        <v/>
      </c>
      <c r="N44" s="38">
        <f>SUMIFS(qPL_Fact!$D:$D,qPL_Fact!$C:$C,$B44,qPL_Fact!$A:$A,N$3)</f>
        <v/>
      </c>
      <c r="O44" s="38">
        <f>SUMIFS(qPL_Fact!$D:$D,qPL_Fact!$C:$C,$B44,qPL_Fact!$A:$A,O$3)</f>
        <v/>
      </c>
      <c r="P44" s="38">
        <f>SUMIFS(qPL_Fact!$D:$D,qPL_Fact!$C:$C,$B44,qPL_Fact!$A:$A,P$3)</f>
        <v/>
      </c>
      <c r="Q44" s="38">
        <f>SUMIFS(qPL_Fact!$D:$D,qPL_Fact!$C:$C,$B44,qPL_Fact!$A:$A,Q$3)</f>
        <v/>
      </c>
      <c r="R44" s="38">
        <f>SUMIFS(qPL_Fact!$D:$D,qPL_Fact!$C:$C,$B44,qPL_Fact!$A:$A,R$3)</f>
        <v/>
      </c>
      <c r="S44" s="38">
        <f>SUMIFS(qPL_Fact!$D:$D,qPL_Fact!$C:$C,$B44,qPL_Fact!$A:$A,S$3)</f>
        <v/>
      </c>
      <c r="T44" s="38">
        <f>SUMIFS(qPL_Fact!$D:$D,qPL_Fact!$C:$C,$B44,qPL_Fact!$A:$A,T$3)</f>
        <v/>
      </c>
    </row>
    <row r="45">
      <c r="A45" s="8" t="inlineStr">
        <is>
          <t>6141</t>
        </is>
      </c>
      <c r="B45" s="10" t="inlineStr">
        <is>
          <t>Painting</t>
        </is>
      </c>
      <c r="C45" s="37">
        <f>SUM(I45:T45)</f>
        <v/>
      </c>
      <c r="D45" s="37">
        <f>SUMIFS(qPL_Fact!$D:$D,qPL_Fact!$C:$C,$B45,qPL_Fact!$A:$A,D$3)</f>
        <v/>
      </c>
      <c r="E45" s="37">
        <f>SUMIFS(qPL_Fact!$D:$D,qPL_Fact!$C:$C,$B45,qPL_Fact!$A:$A,E$3)</f>
        <v/>
      </c>
      <c r="F45" s="37">
        <f>SUMIFS(qPL_Fact!$D:$D,qPL_Fact!$C:$C,$B45,qPL_Fact!$A:$A,F$3)</f>
        <v/>
      </c>
      <c r="G45" s="37">
        <f>SUMIFS(qPL_Fact!$D:$D,qPL_Fact!$C:$C,$B45,qPL_Fact!$A:$A,G$3)</f>
        <v/>
      </c>
      <c r="H45" s="37">
        <f>SUMIFS(qPL_Fact!$D:$D,qPL_Fact!$C:$C,$B45,qPL_Fact!$A:$A,H$3)</f>
        <v/>
      </c>
      <c r="I45" s="37">
        <f>SUMIFS(qPL_Fact!$D:$D,qPL_Fact!$C:$C,$B45,qPL_Fact!$A:$A,I$3)</f>
        <v/>
      </c>
      <c r="J45" s="37">
        <f>SUMIFS(qPL_Fact!$D:$D,qPL_Fact!$C:$C,$B45,qPL_Fact!$A:$A,J$3)</f>
        <v/>
      </c>
      <c r="K45" s="37">
        <f>SUMIFS(qPL_Fact!$D:$D,qPL_Fact!$C:$C,$B45,qPL_Fact!$A:$A,K$3)</f>
        <v/>
      </c>
      <c r="L45" s="37">
        <f>SUMIFS(qPL_Fact!$D:$D,qPL_Fact!$C:$C,$B45,qPL_Fact!$A:$A,L$3)</f>
        <v/>
      </c>
      <c r="M45" s="37">
        <f>SUMIFS(qPL_Fact!$D:$D,qPL_Fact!$C:$C,$B45,qPL_Fact!$A:$A,M$3)</f>
        <v/>
      </c>
      <c r="N45" s="37">
        <f>SUMIFS(qPL_Fact!$D:$D,qPL_Fact!$C:$C,$B45,qPL_Fact!$A:$A,N$3)</f>
        <v/>
      </c>
      <c r="O45" s="37">
        <f>SUMIFS(qPL_Fact!$D:$D,qPL_Fact!$C:$C,$B45,qPL_Fact!$A:$A,O$3)</f>
        <v/>
      </c>
      <c r="P45" s="37">
        <f>SUMIFS(qPL_Fact!$D:$D,qPL_Fact!$C:$C,$B45,qPL_Fact!$A:$A,P$3)</f>
        <v/>
      </c>
      <c r="Q45" s="37">
        <f>SUMIFS(qPL_Fact!$D:$D,qPL_Fact!$C:$C,$B45,qPL_Fact!$A:$A,Q$3)</f>
        <v/>
      </c>
      <c r="R45" s="37">
        <f>SUMIFS(qPL_Fact!$D:$D,qPL_Fact!$C:$C,$B45,qPL_Fact!$A:$A,R$3)</f>
        <v/>
      </c>
      <c r="S45" s="37">
        <f>SUMIFS(qPL_Fact!$D:$D,qPL_Fact!$C:$C,$B45,qPL_Fact!$A:$A,S$3)</f>
        <v/>
      </c>
      <c r="T45" s="37">
        <f>SUMIFS(qPL_Fact!$D:$D,qPL_Fact!$C:$C,$B45,qPL_Fact!$A:$A,T$3)</f>
        <v/>
      </c>
    </row>
    <row r="46">
      <c r="A46" s="11" t="inlineStr">
        <is>
          <t>6142</t>
        </is>
      </c>
      <c r="B46" s="12" t="inlineStr">
        <is>
          <t>Plumbing</t>
        </is>
      </c>
      <c r="C46" s="38">
        <f>SUM(I46:T46)</f>
        <v/>
      </c>
      <c r="D46" s="38">
        <f>SUMIFS(qPL_Fact!$D:$D,qPL_Fact!$C:$C,$B46,qPL_Fact!$A:$A,D$3)</f>
        <v/>
      </c>
      <c r="E46" s="38">
        <f>SUMIFS(qPL_Fact!$D:$D,qPL_Fact!$C:$C,$B46,qPL_Fact!$A:$A,E$3)</f>
        <v/>
      </c>
      <c r="F46" s="38">
        <f>SUMIFS(qPL_Fact!$D:$D,qPL_Fact!$C:$C,$B46,qPL_Fact!$A:$A,F$3)</f>
        <v/>
      </c>
      <c r="G46" s="38">
        <f>SUMIFS(qPL_Fact!$D:$D,qPL_Fact!$C:$C,$B46,qPL_Fact!$A:$A,G$3)</f>
        <v/>
      </c>
      <c r="H46" s="38">
        <f>SUMIFS(qPL_Fact!$D:$D,qPL_Fact!$C:$C,$B46,qPL_Fact!$A:$A,H$3)</f>
        <v/>
      </c>
      <c r="I46" s="38">
        <f>SUMIFS(qPL_Fact!$D:$D,qPL_Fact!$C:$C,$B46,qPL_Fact!$A:$A,I$3)</f>
        <v/>
      </c>
      <c r="J46" s="38">
        <f>SUMIFS(qPL_Fact!$D:$D,qPL_Fact!$C:$C,$B46,qPL_Fact!$A:$A,J$3)</f>
        <v/>
      </c>
      <c r="K46" s="38">
        <f>SUMIFS(qPL_Fact!$D:$D,qPL_Fact!$C:$C,$B46,qPL_Fact!$A:$A,K$3)</f>
        <v/>
      </c>
      <c r="L46" s="38">
        <f>SUMIFS(qPL_Fact!$D:$D,qPL_Fact!$C:$C,$B46,qPL_Fact!$A:$A,L$3)</f>
        <v/>
      </c>
      <c r="M46" s="38">
        <f>SUMIFS(qPL_Fact!$D:$D,qPL_Fact!$C:$C,$B46,qPL_Fact!$A:$A,M$3)</f>
        <v/>
      </c>
      <c r="N46" s="38">
        <f>SUMIFS(qPL_Fact!$D:$D,qPL_Fact!$C:$C,$B46,qPL_Fact!$A:$A,N$3)</f>
        <v/>
      </c>
      <c r="O46" s="38">
        <f>SUMIFS(qPL_Fact!$D:$D,qPL_Fact!$C:$C,$B46,qPL_Fact!$A:$A,O$3)</f>
        <v/>
      </c>
      <c r="P46" s="38">
        <f>SUMIFS(qPL_Fact!$D:$D,qPL_Fact!$C:$C,$B46,qPL_Fact!$A:$A,P$3)</f>
        <v/>
      </c>
      <c r="Q46" s="38">
        <f>SUMIFS(qPL_Fact!$D:$D,qPL_Fact!$C:$C,$B46,qPL_Fact!$A:$A,Q$3)</f>
        <v/>
      </c>
      <c r="R46" s="38">
        <f>SUMIFS(qPL_Fact!$D:$D,qPL_Fact!$C:$C,$B46,qPL_Fact!$A:$A,R$3)</f>
        <v/>
      </c>
      <c r="S46" s="38">
        <f>SUMIFS(qPL_Fact!$D:$D,qPL_Fact!$C:$C,$B46,qPL_Fact!$A:$A,S$3)</f>
        <v/>
      </c>
      <c r="T46" s="38">
        <f>SUMIFS(qPL_Fact!$D:$D,qPL_Fact!$C:$C,$B46,qPL_Fact!$A:$A,T$3)</f>
        <v/>
      </c>
    </row>
    <row r="47">
      <c r="A47" s="8" t="inlineStr">
        <is>
          <t>6143</t>
        </is>
      </c>
      <c r="B47" s="10" t="inlineStr">
        <is>
          <t>Flooring</t>
        </is>
      </c>
      <c r="C47" s="37">
        <f>SUM(I47:T47)</f>
        <v/>
      </c>
      <c r="D47" s="37">
        <f>SUMIFS(qPL_Fact!$D:$D,qPL_Fact!$C:$C,$B47,qPL_Fact!$A:$A,D$3)</f>
        <v/>
      </c>
      <c r="E47" s="37">
        <f>SUMIFS(qPL_Fact!$D:$D,qPL_Fact!$C:$C,$B47,qPL_Fact!$A:$A,E$3)</f>
        <v/>
      </c>
      <c r="F47" s="37">
        <f>SUMIFS(qPL_Fact!$D:$D,qPL_Fact!$C:$C,$B47,qPL_Fact!$A:$A,F$3)</f>
        <v/>
      </c>
      <c r="G47" s="37">
        <f>SUMIFS(qPL_Fact!$D:$D,qPL_Fact!$C:$C,$B47,qPL_Fact!$A:$A,G$3)</f>
        <v/>
      </c>
      <c r="H47" s="37">
        <f>SUMIFS(qPL_Fact!$D:$D,qPL_Fact!$C:$C,$B47,qPL_Fact!$A:$A,H$3)</f>
        <v/>
      </c>
      <c r="I47" s="37">
        <f>SUMIFS(qPL_Fact!$D:$D,qPL_Fact!$C:$C,$B47,qPL_Fact!$A:$A,I$3)</f>
        <v/>
      </c>
      <c r="J47" s="37">
        <f>SUMIFS(qPL_Fact!$D:$D,qPL_Fact!$C:$C,$B47,qPL_Fact!$A:$A,J$3)</f>
        <v/>
      </c>
      <c r="K47" s="37">
        <f>SUMIFS(qPL_Fact!$D:$D,qPL_Fact!$C:$C,$B47,qPL_Fact!$A:$A,K$3)</f>
        <v/>
      </c>
      <c r="L47" s="37">
        <f>SUMIFS(qPL_Fact!$D:$D,qPL_Fact!$C:$C,$B47,qPL_Fact!$A:$A,L$3)</f>
        <v/>
      </c>
      <c r="M47" s="37">
        <f>SUMIFS(qPL_Fact!$D:$D,qPL_Fact!$C:$C,$B47,qPL_Fact!$A:$A,M$3)</f>
        <v/>
      </c>
      <c r="N47" s="37">
        <f>SUMIFS(qPL_Fact!$D:$D,qPL_Fact!$C:$C,$B47,qPL_Fact!$A:$A,N$3)</f>
        <v/>
      </c>
      <c r="O47" s="37">
        <f>SUMIFS(qPL_Fact!$D:$D,qPL_Fact!$C:$C,$B47,qPL_Fact!$A:$A,O$3)</f>
        <v/>
      </c>
      <c r="P47" s="37">
        <f>SUMIFS(qPL_Fact!$D:$D,qPL_Fact!$C:$C,$B47,qPL_Fact!$A:$A,P$3)</f>
        <v/>
      </c>
      <c r="Q47" s="37">
        <f>SUMIFS(qPL_Fact!$D:$D,qPL_Fact!$C:$C,$B47,qPL_Fact!$A:$A,Q$3)</f>
        <v/>
      </c>
      <c r="R47" s="37">
        <f>SUMIFS(qPL_Fact!$D:$D,qPL_Fact!$C:$C,$B47,qPL_Fact!$A:$A,R$3)</f>
        <v/>
      </c>
      <c r="S47" s="37">
        <f>SUMIFS(qPL_Fact!$D:$D,qPL_Fact!$C:$C,$B47,qPL_Fact!$A:$A,S$3)</f>
        <v/>
      </c>
      <c r="T47" s="37">
        <f>SUMIFS(qPL_Fact!$D:$D,qPL_Fact!$C:$C,$B47,qPL_Fact!$A:$A,T$3)</f>
        <v/>
      </c>
    </row>
    <row r="48">
      <c r="A48" s="11" t="inlineStr">
        <is>
          <t>6144</t>
        </is>
      </c>
      <c r="B48" s="12" t="inlineStr">
        <is>
          <t>HVAC</t>
        </is>
      </c>
      <c r="C48" s="38">
        <f>SUM(I48:T48)</f>
        <v/>
      </c>
      <c r="D48" s="38">
        <f>SUMIFS(qPL_Fact!$D:$D,qPL_Fact!$C:$C,$B48,qPL_Fact!$A:$A,D$3)</f>
        <v/>
      </c>
      <c r="E48" s="38">
        <f>SUMIFS(qPL_Fact!$D:$D,qPL_Fact!$C:$C,$B48,qPL_Fact!$A:$A,E$3)</f>
        <v/>
      </c>
      <c r="F48" s="38">
        <f>SUMIFS(qPL_Fact!$D:$D,qPL_Fact!$C:$C,$B48,qPL_Fact!$A:$A,F$3)</f>
        <v/>
      </c>
      <c r="G48" s="38">
        <f>SUMIFS(qPL_Fact!$D:$D,qPL_Fact!$C:$C,$B48,qPL_Fact!$A:$A,G$3)</f>
        <v/>
      </c>
      <c r="H48" s="38">
        <f>SUMIFS(qPL_Fact!$D:$D,qPL_Fact!$C:$C,$B48,qPL_Fact!$A:$A,H$3)</f>
        <v/>
      </c>
      <c r="I48" s="38">
        <f>SUMIFS(qPL_Fact!$D:$D,qPL_Fact!$C:$C,$B48,qPL_Fact!$A:$A,I$3)</f>
        <v/>
      </c>
      <c r="J48" s="38">
        <f>SUMIFS(qPL_Fact!$D:$D,qPL_Fact!$C:$C,$B48,qPL_Fact!$A:$A,J$3)</f>
        <v/>
      </c>
      <c r="K48" s="38">
        <f>SUMIFS(qPL_Fact!$D:$D,qPL_Fact!$C:$C,$B48,qPL_Fact!$A:$A,K$3)</f>
        <v/>
      </c>
      <c r="L48" s="38">
        <f>SUMIFS(qPL_Fact!$D:$D,qPL_Fact!$C:$C,$B48,qPL_Fact!$A:$A,L$3)</f>
        <v/>
      </c>
      <c r="M48" s="38">
        <f>SUMIFS(qPL_Fact!$D:$D,qPL_Fact!$C:$C,$B48,qPL_Fact!$A:$A,M$3)</f>
        <v/>
      </c>
      <c r="N48" s="38">
        <f>SUMIFS(qPL_Fact!$D:$D,qPL_Fact!$C:$C,$B48,qPL_Fact!$A:$A,N$3)</f>
        <v/>
      </c>
      <c r="O48" s="38">
        <f>SUMIFS(qPL_Fact!$D:$D,qPL_Fact!$C:$C,$B48,qPL_Fact!$A:$A,O$3)</f>
        <v/>
      </c>
      <c r="P48" s="38">
        <f>SUMIFS(qPL_Fact!$D:$D,qPL_Fact!$C:$C,$B48,qPL_Fact!$A:$A,P$3)</f>
        <v/>
      </c>
      <c r="Q48" s="38">
        <f>SUMIFS(qPL_Fact!$D:$D,qPL_Fact!$C:$C,$B48,qPL_Fact!$A:$A,Q$3)</f>
        <v/>
      </c>
      <c r="R48" s="38">
        <f>SUMIFS(qPL_Fact!$D:$D,qPL_Fact!$C:$C,$B48,qPL_Fact!$A:$A,R$3)</f>
        <v/>
      </c>
      <c r="S48" s="38">
        <f>SUMIFS(qPL_Fact!$D:$D,qPL_Fact!$C:$C,$B48,qPL_Fact!$A:$A,S$3)</f>
        <v/>
      </c>
      <c r="T48" s="38">
        <f>SUMIFS(qPL_Fact!$D:$D,qPL_Fact!$C:$C,$B48,qPL_Fact!$A:$A,T$3)</f>
        <v/>
      </c>
    </row>
    <row r="49">
      <c r="A49" s="8" t="inlineStr">
        <is>
          <t>6145</t>
        </is>
      </c>
      <c r="B49" s="10" t="inlineStr">
        <is>
          <t>Key/Lock</t>
        </is>
      </c>
      <c r="C49" s="37">
        <f>SUM(I49:T49)</f>
        <v/>
      </c>
      <c r="D49" s="37">
        <f>SUMIFS(qPL_Fact!$D:$D,qPL_Fact!$C:$C,$B49,qPL_Fact!$A:$A,D$3)</f>
        <v/>
      </c>
      <c r="E49" s="37">
        <f>SUMIFS(qPL_Fact!$D:$D,qPL_Fact!$C:$C,$B49,qPL_Fact!$A:$A,E$3)</f>
        <v/>
      </c>
      <c r="F49" s="37">
        <f>SUMIFS(qPL_Fact!$D:$D,qPL_Fact!$C:$C,$B49,qPL_Fact!$A:$A,F$3)</f>
        <v/>
      </c>
      <c r="G49" s="37">
        <f>SUMIFS(qPL_Fact!$D:$D,qPL_Fact!$C:$C,$B49,qPL_Fact!$A:$A,G$3)</f>
        <v/>
      </c>
      <c r="H49" s="37">
        <f>SUMIFS(qPL_Fact!$D:$D,qPL_Fact!$C:$C,$B49,qPL_Fact!$A:$A,H$3)</f>
        <v/>
      </c>
      <c r="I49" s="37">
        <f>SUMIFS(qPL_Fact!$D:$D,qPL_Fact!$C:$C,$B49,qPL_Fact!$A:$A,I$3)</f>
        <v/>
      </c>
      <c r="J49" s="37">
        <f>SUMIFS(qPL_Fact!$D:$D,qPL_Fact!$C:$C,$B49,qPL_Fact!$A:$A,J$3)</f>
        <v/>
      </c>
      <c r="K49" s="37">
        <f>SUMIFS(qPL_Fact!$D:$D,qPL_Fact!$C:$C,$B49,qPL_Fact!$A:$A,K$3)</f>
        <v/>
      </c>
      <c r="L49" s="37">
        <f>SUMIFS(qPL_Fact!$D:$D,qPL_Fact!$C:$C,$B49,qPL_Fact!$A:$A,L$3)</f>
        <v/>
      </c>
      <c r="M49" s="37">
        <f>SUMIFS(qPL_Fact!$D:$D,qPL_Fact!$C:$C,$B49,qPL_Fact!$A:$A,M$3)</f>
        <v/>
      </c>
      <c r="N49" s="37">
        <f>SUMIFS(qPL_Fact!$D:$D,qPL_Fact!$C:$C,$B49,qPL_Fact!$A:$A,N$3)</f>
        <v/>
      </c>
      <c r="O49" s="37">
        <f>SUMIFS(qPL_Fact!$D:$D,qPL_Fact!$C:$C,$B49,qPL_Fact!$A:$A,O$3)</f>
        <v/>
      </c>
      <c r="P49" s="37">
        <f>SUMIFS(qPL_Fact!$D:$D,qPL_Fact!$C:$C,$B49,qPL_Fact!$A:$A,P$3)</f>
        <v/>
      </c>
      <c r="Q49" s="37">
        <f>SUMIFS(qPL_Fact!$D:$D,qPL_Fact!$C:$C,$B49,qPL_Fact!$A:$A,Q$3)</f>
        <v/>
      </c>
      <c r="R49" s="37">
        <f>SUMIFS(qPL_Fact!$D:$D,qPL_Fact!$C:$C,$B49,qPL_Fact!$A:$A,R$3)</f>
        <v/>
      </c>
      <c r="S49" s="37">
        <f>SUMIFS(qPL_Fact!$D:$D,qPL_Fact!$C:$C,$B49,qPL_Fact!$A:$A,S$3)</f>
        <v/>
      </c>
      <c r="T49" s="37">
        <f>SUMIFS(qPL_Fact!$D:$D,qPL_Fact!$C:$C,$B49,qPL_Fact!$A:$A,T$3)</f>
        <v/>
      </c>
    </row>
    <row r="50">
      <c r="A50" s="11" t="inlineStr">
        <is>
          <t>6147</t>
        </is>
      </c>
      <c r="B50" s="12" t="inlineStr">
        <is>
          <t>Repairs - Other</t>
        </is>
      </c>
      <c r="C50" s="38">
        <f>SUM(I50:T50)</f>
        <v/>
      </c>
      <c r="D50" s="38">
        <f>SUMIFS(qPL_Fact!$D:$D,qPL_Fact!$C:$C,$B50,qPL_Fact!$A:$A,D$3)</f>
        <v/>
      </c>
      <c r="E50" s="38">
        <f>SUMIFS(qPL_Fact!$D:$D,qPL_Fact!$C:$C,$B50,qPL_Fact!$A:$A,E$3)</f>
        <v/>
      </c>
      <c r="F50" s="38">
        <f>SUMIFS(qPL_Fact!$D:$D,qPL_Fact!$C:$C,$B50,qPL_Fact!$A:$A,F$3)</f>
        <v/>
      </c>
      <c r="G50" s="38">
        <f>SUMIFS(qPL_Fact!$D:$D,qPL_Fact!$C:$C,$B50,qPL_Fact!$A:$A,G$3)</f>
        <v/>
      </c>
      <c r="H50" s="38">
        <f>SUMIFS(qPL_Fact!$D:$D,qPL_Fact!$C:$C,$B50,qPL_Fact!$A:$A,H$3)</f>
        <v/>
      </c>
      <c r="I50" s="38">
        <f>SUMIFS(qPL_Fact!$D:$D,qPL_Fact!$C:$C,$B50,qPL_Fact!$A:$A,I$3)</f>
        <v/>
      </c>
      <c r="J50" s="38">
        <f>SUMIFS(qPL_Fact!$D:$D,qPL_Fact!$C:$C,$B50,qPL_Fact!$A:$A,J$3)</f>
        <v/>
      </c>
      <c r="K50" s="38">
        <f>SUMIFS(qPL_Fact!$D:$D,qPL_Fact!$C:$C,$B50,qPL_Fact!$A:$A,K$3)</f>
        <v/>
      </c>
      <c r="L50" s="38">
        <f>SUMIFS(qPL_Fact!$D:$D,qPL_Fact!$C:$C,$B50,qPL_Fact!$A:$A,L$3)</f>
        <v/>
      </c>
      <c r="M50" s="38">
        <f>SUMIFS(qPL_Fact!$D:$D,qPL_Fact!$C:$C,$B50,qPL_Fact!$A:$A,M$3)</f>
        <v/>
      </c>
      <c r="N50" s="38">
        <f>SUMIFS(qPL_Fact!$D:$D,qPL_Fact!$C:$C,$B50,qPL_Fact!$A:$A,N$3)</f>
        <v/>
      </c>
      <c r="O50" s="38">
        <f>SUMIFS(qPL_Fact!$D:$D,qPL_Fact!$C:$C,$B50,qPL_Fact!$A:$A,O$3)</f>
        <v/>
      </c>
      <c r="P50" s="38">
        <f>SUMIFS(qPL_Fact!$D:$D,qPL_Fact!$C:$C,$B50,qPL_Fact!$A:$A,P$3)</f>
        <v/>
      </c>
      <c r="Q50" s="38">
        <f>SUMIFS(qPL_Fact!$D:$D,qPL_Fact!$C:$C,$B50,qPL_Fact!$A:$A,Q$3)</f>
        <v/>
      </c>
      <c r="R50" s="38">
        <f>SUMIFS(qPL_Fact!$D:$D,qPL_Fact!$C:$C,$B50,qPL_Fact!$A:$A,R$3)</f>
        <v/>
      </c>
      <c r="S50" s="38">
        <f>SUMIFS(qPL_Fact!$D:$D,qPL_Fact!$C:$C,$B50,qPL_Fact!$A:$A,S$3)</f>
        <v/>
      </c>
      <c r="T50" s="38">
        <f>SUMIFS(qPL_Fact!$D:$D,qPL_Fact!$C:$C,$B50,qPL_Fact!$A:$A,T$3)</f>
        <v/>
      </c>
    </row>
    <row r="51">
      <c r="A51" s="8" t="inlineStr">
        <is>
          <t>6150</t>
        </is>
      </c>
      <c r="B51" s="10" t="inlineStr">
        <is>
          <t>Supplies</t>
        </is>
      </c>
      <c r="C51" s="37">
        <f>SUM(I51:T51)</f>
        <v/>
      </c>
      <c r="D51" s="37">
        <f>SUMIFS(qPL_Fact!$D:$D,qPL_Fact!$C:$C,$B51,qPL_Fact!$A:$A,D$3)</f>
        <v/>
      </c>
      <c r="E51" s="37">
        <f>SUMIFS(qPL_Fact!$D:$D,qPL_Fact!$C:$C,$B51,qPL_Fact!$A:$A,E$3)</f>
        <v/>
      </c>
      <c r="F51" s="37">
        <f>SUMIFS(qPL_Fact!$D:$D,qPL_Fact!$C:$C,$B51,qPL_Fact!$A:$A,F$3)</f>
        <v/>
      </c>
      <c r="G51" s="37">
        <f>SUMIFS(qPL_Fact!$D:$D,qPL_Fact!$C:$C,$B51,qPL_Fact!$A:$A,G$3)</f>
        <v/>
      </c>
      <c r="H51" s="37">
        <f>SUMIFS(qPL_Fact!$D:$D,qPL_Fact!$C:$C,$B51,qPL_Fact!$A:$A,H$3)</f>
        <v/>
      </c>
      <c r="I51" s="37">
        <f>SUMIFS(qPL_Fact!$D:$D,qPL_Fact!$C:$C,$B51,qPL_Fact!$A:$A,I$3)</f>
        <v/>
      </c>
      <c r="J51" s="37">
        <f>SUMIFS(qPL_Fact!$D:$D,qPL_Fact!$C:$C,$B51,qPL_Fact!$A:$A,J$3)</f>
        <v/>
      </c>
      <c r="K51" s="37">
        <f>SUMIFS(qPL_Fact!$D:$D,qPL_Fact!$C:$C,$B51,qPL_Fact!$A:$A,K$3)</f>
        <v/>
      </c>
      <c r="L51" s="37">
        <f>SUMIFS(qPL_Fact!$D:$D,qPL_Fact!$C:$C,$B51,qPL_Fact!$A:$A,L$3)</f>
        <v/>
      </c>
      <c r="M51" s="37">
        <f>SUMIFS(qPL_Fact!$D:$D,qPL_Fact!$C:$C,$B51,qPL_Fact!$A:$A,M$3)</f>
        <v/>
      </c>
      <c r="N51" s="37">
        <f>SUMIFS(qPL_Fact!$D:$D,qPL_Fact!$C:$C,$B51,qPL_Fact!$A:$A,N$3)</f>
        <v/>
      </c>
      <c r="O51" s="37">
        <f>SUMIFS(qPL_Fact!$D:$D,qPL_Fact!$C:$C,$B51,qPL_Fact!$A:$A,O$3)</f>
        <v/>
      </c>
      <c r="P51" s="37">
        <f>SUMIFS(qPL_Fact!$D:$D,qPL_Fact!$C:$C,$B51,qPL_Fact!$A:$A,P$3)</f>
        <v/>
      </c>
      <c r="Q51" s="37">
        <f>SUMIFS(qPL_Fact!$D:$D,qPL_Fact!$C:$C,$B51,qPL_Fact!$A:$A,Q$3)</f>
        <v/>
      </c>
      <c r="R51" s="37">
        <f>SUMIFS(qPL_Fact!$D:$D,qPL_Fact!$C:$C,$B51,qPL_Fact!$A:$A,R$3)</f>
        <v/>
      </c>
      <c r="S51" s="37">
        <f>SUMIFS(qPL_Fact!$D:$D,qPL_Fact!$C:$C,$B51,qPL_Fact!$A:$A,S$3)</f>
        <v/>
      </c>
      <c r="T51" s="37">
        <f>SUMIFS(qPL_Fact!$D:$D,qPL_Fact!$C:$C,$B51,qPL_Fact!$A:$A,T$3)</f>
        <v/>
      </c>
    </row>
    <row r="52">
      <c r="A52" s="11" t="inlineStr">
        <is>
          <t>6101</t>
        </is>
      </c>
      <c r="B52" s="12" t="inlineStr">
        <is>
          <t>Legal</t>
        </is>
      </c>
      <c r="C52" s="38">
        <f>SUM(I52:T52)</f>
        <v/>
      </c>
      <c r="D52" s="38">
        <f>SUMIFS(qPL_Fact!$D:$D,qPL_Fact!$C:$C,$B52,qPL_Fact!$A:$A,D$3)</f>
        <v/>
      </c>
      <c r="E52" s="38">
        <f>SUMIFS(qPL_Fact!$D:$D,qPL_Fact!$C:$C,$B52,qPL_Fact!$A:$A,E$3)</f>
        <v/>
      </c>
      <c r="F52" s="38">
        <f>SUMIFS(qPL_Fact!$D:$D,qPL_Fact!$C:$C,$B52,qPL_Fact!$A:$A,F$3)</f>
        <v/>
      </c>
      <c r="G52" s="38">
        <f>SUMIFS(qPL_Fact!$D:$D,qPL_Fact!$C:$C,$B52,qPL_Fact!$A:$A,G$3)</f>
        <v/>
      </c>
      <c r="H52" s="38">
        <f>SUMIFS(qPL_Fact!$D:$D,qPL_Fact!$C:$C,$B52,qPL_Fact!$A:$A,H$3)</f>
        <v/>
      </c>
      <c r="I52" s="38">
        <f>SUMIFS(qPL_Fact!$D:$D,qPL_Fact!$C:$C,$B52,qPL_Fact!$A:$A,I$3)</f>
        <v/>
      </c>
      <c r="J52" s="38">
        <f>SUMIFS(qPL_Fact!$D:$D,qPL_Fact!$C:$C,$B52,qPL_Fact!$A:$A,J$3)</f>
        <v/>
      </c>
      <c r="K52" s="38">
        <f>SUMIFS(qPL_Fact!$D:$D,qPL_Fact!$C:$C,$B52,qPL_Fact!$A:$A,K$3)</f>
        <v/>
      </c>
      <c r="L52" s="38">
        <f>SUMIFS(qPL_Fact!$D:$D,qPL_Fact!$C:$C,$B52,qPL_Fact!$A:$A,L$3)</f>
        <v/>
      </c>
      <c r="M52" s="38">
        <f>SUMIFS(qPL_Fact!$D:$D,qPL_Fact!$C:$C,$B52,qPL_Fact!$A:$A,M$3)</f>
        <v/>
      </c>
      <c r="N52" s="38">
        <f>SUMIFS(qPL_Fact!$D:$D,qPL_Fact!$C:$C,$B52,qPL_Fact!$A:$A,N$3)</f>
        <v/>
      </c>
      <c r="O52" s="38">
        <f>SUMIFS(qPL_Fact!$D:$D,qPL_Fact!$C:$C,$B52,qPL_Fact!$A:$A,O$3)</f>
        <v/>
      </c>
      <c r="P52" s="38">
        <f>SUMIFS(qPL_Fact!$D:$D,qPL_Fact!$C:$C,$B52,qPL_Fact!$A:$A,P$3)</f>
        <v/>
      </c>
      <c r="Q52" s="38">
        <f>SUMIFS(qPL_Fact!$D:$D,qPL_Fact!$C:$C,$B52,qPL_Fact!$A:$A,Q$3)</f>
        <v/>
      </c>
      <c r="R52" s="38">
        <f>SUMIFS(qPL_Fact!$D:$D,qPL_Fact!$C:$C,$B52,qPL_Fact!$A:$A,R$3)</f>
        <v/>
      </c>
      <c r="S52" s="38">
        <f>SUMIFS(qPL_Fact!$D:$D,qPL_Fact!$C:$C,$B52,qPL_Fact!$A:$A,S$3)</f>
        <v/>
      </c>
      <c r="T52" s="38">
        <f>SUMIFS(qPL_Fact!$D:$D,qPL_Fact!$C:$C,$B52,qPL_Fact!$A:$A,T$3)</f>
        <v/>
      </c>
    </row>
    <row r="53">
      <c r="A53" s="8" t="inlineStr">
        <is>
          <t>6102</t>
        </is>
      </c>
      <c r="B53" s="10" t="inlineStr">
        <is>
          <t>Accounting</t>
        </is>
      </c>
      <c r="C53" s="37">
        <f>SUM(I53:T53)</f>
        <v/>
      </c>
      <c r="D53" s="37">
        <f>SUMIFS(qPL_Fact!$D:$D,qPL_Fact!$C:$C,$B53,qPL_Fact!$A:$A,D$3)</f>
        <v/>
      </c>
      <c r="E53" s="37">
        <f>SUMIFS(qPL_Fact!$D:$D,qPL_Fact!$C:$C,$B53,qPL_Fact!$A:$A,E$3)</f>
        <v/>
      </c>
      <c r="F53" s="37">
        <f>SUMIFS(qPL_Fact!$D:$D,qPL_Fact!$C:$C,$B53,qPL_Fact!$A:$A,F$3)</f>
        <v/>
      </c>
      <c r="G53" s="37">
        <f>SUMIFS(qPL_Fact!$D:$D,qPL_Fact!$C:$C,$B53,qPL_Fact!$A:$A,G$3)</f>
        <v/>
      </c>
      <c r="H53" s="37">
        <f>SUMIFS(qPL_Fact!$D:$D,qPL_Fact!$C:$C,$B53,qPL_Fact!$A:$A,H$3)</f>
        <v/>
      </c>
      <c r="I53" s="37">
        <f>SUMIFS(qPL_Fact!$D:$D,qPL_Fact!$C:$C,$B53,qPL_Fact!$A:$A,I$3)</f>
        <v/>
      </c>
      <c r="J53" s="37">
        <f>SUMIFS(qPL_Fact!$D:$D,qPL_Fact!$C:$C,$B53,qPL_Fact!$A:$A,J$3)</f>
        <v/>
      </c>
      <c r="K53" s="37">
        <f>SUMIFS(qPL_Fact!$D:$D,qPL_Fact!$C:$C,$B53,qPL_Fact!$A:$A,K$3)</f>
        <v/>
      </c>
      <c r="L53" s="37">
        <f>SUMIFS(qPL_Fact!$D:$D,qPL_Fact!$C:$C,$B53,qPL_Fact!$A:$A,L$3)</f>
        <v/>
      </c>
      <c r="M53" s="37">
        <f>SUMIFS(qPL_Fact!$D:$D,qPL_Fact!$C:$C,$B53,qPL_Fact!$A:$A,M$3)</f>
        <v/>
      </c>
      <c r="N53" s="37">
        <f>SUMIFS(qPL_Fact!$D:$D,qPL_Fact!$C:$C,$B53,qPL_Fact!$A:$A,N$3)</f>
        <v/>
      </c>
      <c r="O53" s="37">
        <f>SUMIFS(qPL_Fact!$D:$D,qPL_Fact!$C:$C,$B53,qPL_Fact!$A:$A,O$3)</f>
        <v/>
      </c>
      <c r="P53" s="37">
        <f>SUMIFS(qPL_Fact!$D:$D,qPL_Fact!$C:$C,$B53,qPL_Fact!$A:$A,P$3)</f>
        <v/>
      </c>
      <c r="Q53" s="37">
        <f>SUMIFS(qPL_Fact!$D:$D,qPL_Fact!$C:$C,$B53,qPL_Fact!$A:$A,Q$3)</f>
        <v/>
      </c>
      <c r="R53" s="37">
        <f>SUMIFS(qPL_Fact!$D:$D,qPL_Fact!$C:$C,$B53,qPL_Fact!$A:$A,R$3)</f>
        <v/>
      </c>
      <c r="S53" s="37">
        <f>SUMIFS(qPL_Fact!$D:$D,qPL_Fact!$C:$C,$B53,qPL_Fact!$A:$A,S$3)</f>
        <v/>
      </c>
      <c r="T53" s="37">
        <f>SUMIFS(qPL_Fact!$D:$D,qPL_Fact!$C:$C,$B53,qPL_Fact!$A:$A,T$3)</f>
        <v/>
      </c>
    </row>
    <row r="54">
      <c r="A54" s="11" t="inlineStr">
        <is>
          <t>6103</t>
        </is>
      </c>
      <c r="B54" s="12" t="inlineStr">
        <is>
          <t>Professional - Other</t>
        </is>
      </c>
      <c r="C54" s="38">
        <f>SUM(I54:T54)</f>
        <v/>
      </c>
      <c r="D54" s="38">
        <f>SUMIFS(qPL_Fact!$D:$D,qPL_Fact!$C:$C,$B54,qPL_Fact!$A:$A,D$3)</f>
        <v/>
      </c>
      <c r="E54" s="38">
        <f>SUMIFS(qPL_Fact!$D:$D,qPL_Fact!$C:$C,$B54,qPL_Fact!$A:$A,E$3)</f>
        <v/>
      </c>
      <c r="F54" s="38">
        <f>SUMIFS(qPL_Fact!$D:$D,qPL_Fact!$C:$C,$B54,qPL_Fact!$A:$A,F$3)</f>
        <v/>
      </c>
      <c r="G54" s="38">
        <f>SUMIFS(qPL_Fact!$D:$D,qPL_Fact!$C:$C,$B54,qPL_Fact!$A:$A,G$3)</f>
        <v/>
      </c>
      <c r="H54" s="38">
        <f>SUMIFS(qPL_Fact!$D:$D,qPL_Fact!$C:$C,$B54,qPL_Fact!$A:$A,H$3)</f>
        <v/>
      </c>
      <c r="I54" s="38">
        <f>SUMIFS(qPL_Fact!$D:$D,qPL_Fact!$C:$C,$B54,qPL_Fact!$A:$A,I$3)</f>
        <v/>
      </c>
      <c r="J54" s="38">
        <f>SUMIFS(qPL_Fact!$D:$D,qPL_Fact!$C:$C,$B54,qPL_Fact!$A:$A,J$3)</f>
        <v/>
      </c>
      <c r="K54" s="38">
        <f>SUMIFS(qPL_Fact!$D:$D,qPL_Fact!$C:$C,$B54,qPL_Fact!$A:$A,K$3)</f>
        <v/>
      </c>
      <c r="L54" s="38">
        <f>SUMIFS(qPL_Fact!$D:$D,qPL_Fact!$C:$C,$B54,qPL_Fact!$A:$A,L$3)</f>
        <v/>
      </c>
      <c r="M54" s="38">
        <f>SUMIFS(qPL_Fact!$D:$D,qPL_Fact!$C:$C,$B54,qPL_Fact!$A:$A,M$3)</f>
        <v/>
      </c>
      <c r="N54" s="38">
        <f>SUMIFS(qPL_Fact!$D:$D,qPL_Fact!$C:$C,$B54,qPL_Fact!$A:$A,N$3)</f>
        <v/>
      </c>
      <c r="O54" s="38">
        <f>SUMIFS(qPL_Fact!$D:$D,qPL_Fact!$C:$C,$B54,qPL_Fact!$A:$A,O$3)</f>
        <v/>
      </c>
      <c r="P54" s="38">
        <f>SUMIFS(qPL_Fact!$D:$D,qPL_Fact!$C:$C,$B54,qPL_Fact!$A:$A,P$3)</f>
        <v/>
      </c>
      <c r="Q54" s="38">
        <f>SUMIFS(qPL_Fact!$D:$D,qPL_Fact!$C:$C,$B54,qPL_Fact!$A:$A,Q$3)</f>
        <v/>
      </c>
      <c r="R54" s="38">
        <f>SUMIFS(qPL_Fact!$D:$D,qPL_Fact!$C:$C,$B54,qPL_Fact!$A:$A,R$3)</f>
        <v/>
      </c>
      <c r="S54" s="38">
        <f>SUMIFS(qPL_Fact!$D:$D,qPL_Fact!$C:$C,$B54,qPL_Fact!$A:$A,S$3)</f>
        <v/>
      </c>
      <c r="T54" s="38">
        <f>SUMIFS(qPL_Fact!$D:$D,qPL_Fact!$C:$C,$B54,qPL_Fact!$A:$A,T$3)</f>
        <v/>
      </c>
    </row>
    <row r="55">
      <c r="A55" s="8" t="inlineStr">
        <is>
          <t>6105</t>
        </is>
      </c>
      <c r="B55" s="10" t="inlineStr">
        <is>
          <t>Security Service</t>
        </is>
      </c>
      <c r="C55" s="37">
        <f>SUM(I55:T55)</f>
        <v/>
      </c>
      <c r="D55" s="37">
        <f>SUMIFS(qPL_Fact!$D:$D,qPL_Fact!$C:$C,$B55,qPL_Fact!$A:$A,D$3)</f>
        <v/>
      </c>
      <c r="E55" s="37">
        <f>SUMIFS(qPL_Fact!$D:$D,qPL_Fact!$C:$C,$B55,qPL_Fact!$A:$A,E$3)</f>
        <v/>
      </c>
      <c r="F55" s="37">
        <f>SUMIFS(qPL_Fact!$D:$D,qPL_Fact!$C:$C,$B55,qPL_Fact!$A:$A,F$3)</f>
        <v/>
      </c>
      <c r="G55" s="37">
        <f>SUMIFS(qPL_Fact!$D:$D,qPL_Fact!$C:$C,$B55,qPL_Fact!$A:$A,G$3)</f>
        <v/>
      </c>
      <c r="H55" s="37">
        <f>SUMIFS(qPL_Fact!$D:$D,qPL_Fact!$C:$C,$B55,qPL_Fact!$A:$A,H$3)</f>
        <v/>
      </c>
      <c r="I55" s="37">
        <f>SUMIFS(qPL_Fact!$D:$D,qPL_Fact!$C:$C,$B55,qPL_Fact!$A:$A,I$3)</f>
        <v/>
      </c>
      <c r="J55" s="37">
        <f>SUMIFS(qPL_Fact!$D:$D,qPL_Fact!$C:$C,$B55,qPL_Fact!$A:$A,J$3)</f>
        <v/>
      </c>
      <c r="K55" s="37">
        <f>SUMIFS(qPL_Fact!$D:$D,qPL_Fact!$C:$C,$B55,qPL_Fact!$A:$A,K$3)</f>
        <v/>
      </c>
      <c r="L55" s="37">
        <f>SUMIFS(qPL_Fact!$D:$D,qPL_Fact!$C:$C,$B55,qPL_Fact!$A:$A,L$3)</f>
        <v/>
      </c>
      <c r="M55" s="37">
        <f>SUMIFS(qPL_Fact!$D:$D,qPL_Fact!$C:$C,$B55,qPL_Fact!$A:$A,M$3)</f>
        <v/>
      </c>
      <c r="N55" s="37">
        <f>SUMIFS(qPL_Fact!$D:$D,qPL_Fact!$C:$C,$B55,qPL_Fact!$A:$A,N$3)</f>
        <v/>
      </c>
      <c r="O55" s="37">
        <f>SUMIFS(qPL_Fact!$D:$D,qPL_Fact!$C:$C,$B55,qPL_Fact!$A:$A,O$3)</f>
        <v/>
      </c>
      <c r="P55" s="37">
        <f>SUMIFS(qPL_Fact!$D:$D,qPL_Fact!$C:$C,$B55,qPL_Fact!$A:$A,P$3)</f>
        <v/>
      </c>
      <c r="Q55" s="37">
        <f>SUMIFS(qPL_Fact!$D:$D,qPL_Fact!$C:$C,$B55,qPL_Fact!$A:$A,Q$3)</f>
        <v/>
      </c>
      <c r="R55" s="37">
        <f>SUMIFS(qPL_Fact!$D:$D,qPL_Fact!$C:$C,$B55,qPL_Fact!$A:$A,R$3)</f>
        <v/>
      </c>
      <c r="S55" s="37">
        <f>SUMIFS(qPL_Fact!$D:$D,qPL_Fact!$C:$C,$B55,qPL_Fact!$A:$A,S$3)</f>
        <v/>
      </c>
      <c r="T55" s="37">
        <f>SUMIFS(qPL_Fact!$D:$D,qPL_Fact!$C:$C,$B55,qPL_Fact!$A:$A,T$3)</f>
        <v/>
      </c>
    </row>
    <row r="56">
      <c r="A56" s="11" t="inlineStr">
        <is>
          <t>6106</t>
        </is>
      </c>
      <c r="B56" s="12" t="inlineStr">
        <is>
          <t>Bank Fees</t>
        </is>
      </c>
      <c r="C56" s="38">
        <f>SUM(I56:T56)</f>
        <v/>
      </c>
      <c r="D56" s="38">
        <f>SUMIFS(qPL_Fact!$D:$D,qPL_Fact!$C:$C,$B56,qPL_Fact!$A:$A,D$3)</f>
        <v/>
      </c>
      <c r="E56" s="38">
        <f>SUMIFS(qPL_Fact!$D:$D,qPL_Fact!$C:$C,$B56,qPL_Fact!$A:$A,E$3)</f>
        <v/>
      </c>
      <c r="F56" s="38">
        <f>SUMIFS(qPL_Fact!$D:$D,qPL_Fact!$C:$C,$B56,qPL_Fact!$A:$A,F$3)</f>
        <v/>
      </c>
      <c r="G56" s="38">
        <f>SUMIFS(qPL_Fact!$D:$D,qPL_Fact!$C:$C,$B56,qPL_Fact!$A:$A,G$3)</f>
        <v/>
      </c>
      <c r="H56" s="38">
        <f>SUMIFS(qPL_Fact!$D:$D,qPL_Fact!$C:$C,$B56,qPL_Fact!$A:$A,H$3)</f>
        <v/>
      </c>
      <c r="I56" s="38">
        <f>SUMIFS(qPL_Fact!$D:$D,qPL_Fact!$C:$C,$B56,qPL_Fact!$A:$A,I$3)</f>
        <v/>
      </c>
      <c r="J56" s="38">
        <f>SUMIFS(qPL_Fact!$D:$D,qPL_Fact!$C:$C,$B56,qPL_Fact!$A:$A,J$3)</f>
        <v/>
      </c>
      <c r="K56" s="38">
        <f>SUMIFS(qPL_Fact!$D:$D,qPL_Fact!$C:$C,$B56,qPL_Fact!$A:$A,K$3)</f>
        <v/>
      </c>
      <c r="L56" s="38">
        <f>SUMIFS(qPL_Fact!$D:$D,qPL_Fact!$C:$C,$B56,qPL_Fact!$A:$A,L$3)</f>
        <v/>
      </c>
      <c r="M56" s="38">
        <f>SUMIFS(qPL_Fact!$D:$D,qPL_Fact!$C:$C,$B56,qPL_Fact!$A:$A,M$3)</f>
        <v/>
      </c>
      <c r="N56" s="38">
        <f>SUMIFS(qPL_Fact!$D:$D,qPL_Fact!$C:$C,$B56,qPL_Fact!$A:$A,N$3)</f>
        <v/>
      </c>
      <c r="O56" s="38">
        <f>SUMIFS(qPL_Fact!$D:$D,qPL_Fact!$C:$C,$B56,qPL_Fact!$A:$A,O$3)</f>
        <v/>
      </c>
      <c r="P56" s="38">
        <f>SUMIFS(qPL_Fact!$D:$D,qPL_Fact!$C:$C,$B56,qPL_Fact!$A:$A,P$3)</f>
        <v/>
      </c>
      <c r="Q56" s="38">
        <f>SUMIFS(qPL_Fact!$D:$D,qPL_Fact!$C:$C,$B56,qPL_Fact!$A:$A,Q$3)</f>
        <v/>
      </c>
      <c r="R56" s="38">
        <f>SUMIFS(qPL_Fact!$D:$D,qPL_Fact!$C:$C,$B56,qPL_Fact!$A:$A,R$3)</f>
        <v/>
      </c>
      <c r="S56" s="38">
        <f>SUMIFS(qPL_Fact!$D:$D,qPL_Fact!$C:$C,$B56,qPL_Fact!$A:$A,S$3)</f>
        <v/>
      </c>
      <c r="T56" s="38">
        <f>SUMIFS(qPL_Fact!$D:$D,qPL_Fact!$C:$C,$B56,qPL_Fact!$A:$A,T$3)</f>
        <v/>
      </c>
    </row>
    <row r="57">
      <c r="A57" s="8" t="inlineStr">
        <is>
          <t>6107</t>
        </is>
      </c>
      <c r="B57" s="10" t="inlineStr">
        <is>
          <t>Travel</t>
        </is>
      </c>
      <c r="C57" s="37">
        <f>SUM(I57:T57)</f>
        <v/>
      </c>
      <c r="D57" s="37">
        <f>SUMIFS(qPL_Fact!$D:$D,qPL_Fact!$C:$C,$B57,qPL_Fact!$A:$A,D$3)</f>
        <v/>
      </c>
      <c r="E57" s="37">
        <f>SUMIFS(qPL_Fact!$D:$D,qPL_Fact!$C:$C,$B57,qPL_Fact!$A:$A,E$3)</f>
        <v/>
      </c>
      <c r="F57" s="37">
        <f>SUMIFS(qPL_Fact!$D:$D,qPL_Fact!$C:$C,$B57,qPL_Fact!$A:$A,F$3)</f>
        <v/>
      </c>
      <c r="G57" s="37">
        <f>SUMIFS(qPL_Fact!$D:$D,qPL_Fact!$C:$C,$B57,qPL_Fact!$A:$A,G$3)</f>
        <v/>
      </c>
      <c r="H57" s="37">
        <f>SUMIFS(qPL_Fact!$D:$D,qPL_Fact!$C:$C,$B57,qPL_Fact!$A:$A,H$3)</f>
        <v/>
      </c>
      <c r="I57" s="37">
        <f>SUMIFS(qPL_Fact!$D:$D,qPL_Fact!$C:$C,$B57,qPL_Fact!$A:$A,I$3)</f>
        <v/>
      </c>
      <c r="J57" s="37">
        <f>SUMIFS(qPL_Fact!$D:$D,qPL_Fact!$C:$C,$B57,qPL_Fact!$A:$A,J$3)</f>
        <v/>
      </c>
      <c r="K57" s="37">
        <f>SUMIFS(qPL_Fact!$D:$D,qPL_Fact!$C:$C,$B57,qPL_Fact!$A:$A,K$3)</f>
        <v/>
      </c>
      <c r="L57" s="37">
        <f>SUMIFS(qPL_Fact!$D:$D,qPL_Fact!$C:$C,$B57,qPL_Fact!$A:$A,L$3)</f>
        <v/>
      </c>
      <c r="M57" s="37">
        <f>SUMIFS(qPL_Fact!$D:$D,qPL_Fact!$C:$C,$B57,qPL_Fact!$A:$A,M$3)</f>
        <v/>
      </c>
      <c r="N57" s="37">
        <f>SUMIFS(qPL_Fact!$D:$D,qPL_Fact!$C:$C,$B57,qPL_Fact!$A:$A,N$3)</f>
        <v/>
      </c>
      <c r="O57" s="37">
        <f>SUMIFS(qPL_Fact!$D:$D,qPL_Fact!$C:$C,$B57,qPL_Fact!$A:$A,O$3)</f>
        <v/>
      </c>
      <c r="P57" s="37">
        <f>SUMIFS(qPL_Fact!$D:$D,qPL_Fact!$C:$C,$B57,qPL_Fact!$A:$A,P$3)</f>
        <v/>
      </c>
      <c r="Q57" s="37">
        <f>SUMIFS(qPL_Fact!$D:$D,qPL_Fact!$C:$C,$B57,qPL_Fact!$A:$A,Q$3)</f>
        <v/>
      </c>
      <c r="R57" s="37">
        <f>SUMIFS(qPL_Fact!$D:$D,qPL_Fact!$C:$C,$B57,qPL_Fact!$A:$A,R$3)</f>
        <v/>
      </c>
      <c r="S57" s="37">
        <f>SUMIFS(qPL_Fact!$D:$D,qPL_Fact!$C:$C,$B57,qPL_Fact!$A:$A,S$3)</f>
        <v/>
      </c>
      <c r="T57" s="37">
        <f>SUMIFS(qPL_Fact!$D:$D,qPL_Fact!$C:$C,$B57,qPL_Fact!$A:$A,T$3)</f>
        <v/>
      </c>
    </row>
    <row r="58">
      <c r="A58" s="11" t="inlineStr">
        <is>
          <t>6108</t>
        </is>
      </c>
      <c r="B58" s="12" t="inlineStr">
        <is>
          <t>Meals</t>
        </is>
      </c>
      <c r="C58" s="38">
        <f>SUM(I58:T58)</f>
        <v/>
      </c>
      <c r="D58" s="38">
        <f>SUMIFS(qPL_Fact!$D:$D,qPL_Fact!$C:$C,$B58,qPL_Fact!$A:$A,D$3)</f>
        <v/>
      </c>
      <c r="E58" s="38">
        <f>SUMIFS(qPL_Fact!$D:$D,qPL_Fact!$C:$C,$B58,qPL_Fact!$A:$A,E$3)</f>
        <v/>
      </c>
      <c r="F58" s="38">
        <f>SUMIFS(qPL_Fact!$D:$D,qPL_Fact!$C:$C,$B58,qPL_Fact!$A:$A,F$3)</f>
        <v/>
      </c>
      <c r="G58" s="38">
        <f>SUMIFS(qPL_Fact!$D:$D,qPL_Fact!$C:$C,$B58,qPL_Fact!$A:$A,G$3)</f>
        <v/>
      </c>
      <c r="H58" s="38">
        <f>SUMIFS(qPL_Fact!$D:$D,qPL_Fact!$C:$C,$B58,qPL_Fact!$A:$A,H$3)</f>
        <v/>
      </c>
      <c r="I58" s="38">
        <f>SUMIFS(qPL_Fact!$D:$D,qPL_Fact!$C:$C,$B58,qPL_Fact!$A:$A,I$3)</f>
        <v/>
      </c>
      <c r="J58" s="38">
        <f>SUMIFS(qPL_Fact!$D:$D,qPL_Fact!$C:$C,$B58,qPL_Fact!$A:$A,J$3)</f>
        <v/>
      </c>
      <c r="K58" s="38">
        <f>SUMIFS(qPL_Fact!$D:$D,qPL_Fact!$C:$C,$B58,qPL_Fact!$A:$A,K$3)</f>
        <v/>
      </c>
      <c r="L58" s="38">
        <f>SUMIFS(qPL_Fact!$D:$D,qPL_Fact!$C:$C,$B58,qPL_Fact!$A:$A,L$3)</f>
        <v/>
      </c>
      <c r="M58" s="38">
        <f>SUMIFS(qPL_Fact!$D:$D,qPL_Fact!$C:$C,$B58,qPL_Fact!$A:$A,M$3)</f>
        <v/>
      </c>
      <c r="N58" s="38">
        <f>SUMIFS(qPL_Fact!$D:$D,qPL_Fact!$C:$C,$B58,qPL_Fact!$A:$A,N$3)</f>
        <v/>
      </c>
      <c r="O58" s="38">
        <f>SUMIFS(qPL_Fact!$D:$D,qPL_Fact!$C:$C,$B58,qPL_Fact!$A:$A,O$3)</f>
        <v/>
      </c>
      <c r="P58" s="38">
        <f>SUMIFS(qPL_Fact!$D:$D,qPL_Fact!$C:$C,$B58,qPL_Fact!$A:$A,P$3)</f>
        <v/>
      </c>
      <c r="Q58" s="38">
        <f>SUMIFS(qPL_Fact!$D:$D,qPL_Fact!$C:$C,$B58,qPL_Fact!$A:$A,Q$3)</f>
        <v/>
      </c>
      <c r="R58" s="38">
        <f>SUMIFS(qPL_Fact!$D:$D,qPL_Fact!$C:$C,$B58,qPL_Fact!$A:$A,R$3)</f>
        <v/>
      </c>
      <c r="S58" s="38">
        <f>SUMIFS(qPL_Fact!$D:$D,qPL_Fact!$C:$C,$B58,qPL_Fact!$A:$A,S$3)</f>
        <v/>
      </c>
      <c r="T58" s="38">
        <f>SUMIFS(qPL_Fact!$D:$D,qPL_Fact!$C:$C,$B58,qPL_Fact!$A:$A,T$3)</f>
        <v/>
      </c>
    </row>
    <row r="59">
      <c r="A59" s="8" t="inlineStr">
        <is>
          <t>6179</t>
        </is>
      </c>
      <c r="B59" s="10" t="inlineStr">
        <is>
          <t>Asset Mgmt Fee</t>
        </is>
      </c>
      <c r="C59" s="37">
        <f>SUM(I59:T59)</f>
        <v/>
      </c>
      <c r="D59" s="37">
        <f>SUMIFS(qPL_Fact!$D:$D,qPL_Fact!$C:$C,$B59,qPL_Fact!$A:$A,D$3)</f>
        <v/>
      </c>
      <c r="E59" s="37">
        <f>SUMIFS(qPL_Fact!$D:$D,qPL_Fact!$C:$C,$B59,qPL_Fact!$A:$A,E$3)</f>
        <v/>
      </c>
      <c r="F59" s="37">
        <f>SUMIFS(qPL_Fact!$D:$D,qPL_Fact!$C:$C,$B59,qPL_Fact!$A:$A,F$3)</f>
        <v/>
      </c>
      <c r="G59" s="37">
        <f>SUMIFS(qPL_Fact!$D:$D,qPL_Fact!$C:$C,$B59,qPL_Fact!$A:$A,G$3)</f>
        <v/>
      </c>
      <c r="H59" s="37">
        <f>SUMIFS(qPL_Fact!$D:$D,qPL_Fact!$C:$C,$B59,qPL_Fact!$A:$A,H$3)</f>
        <v/>
      </c>
      <c r="I59" s="37">
        <f>SUMIFS(qPL_Fact!$D:$D,qPL_Fact!$C:$C,$B59,qPL_Fact!$A:$A,I$3)</f>
        <v/>
      </c>
      <c r="J59" s="37">
        <f>SUMIFS(qPL_Fact!$D:$D,qPL_Fact!$C:$C,$B59,qPL_Fact!$A:$A,J$3)</f>
        <v/>
      </c>
      <c r="K59" s="37">
        <f>SUMIFS(qPL_Fact!$D:$D,qPL_Fact!$C:$C,$B59,qPL_Fact!$A:$A,K$3)</f>
        <v/>
      </c>
      <c r="L59" s="37">
        <f>SUMIFS(qPL_Fact!$D:$D,qPL_Fact!$C:$C,$B59,qPL_Fact!$A:$A,L$3)</f>
        <v/>
      </c>
      <c r="M59" s="37">
        <f>SUMIFS(qPL_Fact!$D:$D,qPL_Fact!$C:$C,$B59,qPL_Fact!$A:$A,M$3)</f>
        <v/>
      </c>
      <c r="N59" s="37">
        <f>SUMIFS(qPL_Fact!$D:$D,qPL_Fact!$C:$C,$B59,qPL_Fact!$A:$A,N$3)</f>
        <v/>
      </c>
      <c r="O59" s="37">
        <f>SUMIFS(qPL_Fact!$D:$D,qPL_Fact!$C:$C,$B59,qPL_Fact!$A:$A,O$3)</f>
        <v/>
      </c>
      <c r="P59" s="37">
        <f>SUMIFS(qPL_Fact!$D:$D,qPL_Fact!$C:$C,$B59,qPL_Fact!$A:$A,P$3)</f>
        <v/>
      </c>
      <c r="Q59" s="37">
        <f>SUMIFS(qPL_Fact!$D:$D,qPL_Fact!$C:$C,$B59,qPL_Fact!$A:$A,Q$3)</f>
        <v/>
      </c>
      <c r="R59" s="37">
        <f>SUMIFS(qPL_Fact!$D:$D,qPL_Fact!$C:$C,$B59,qPL_Fact!$A:$A,R$3)</f>
        <v/>
      </c>
      <c r="S59" s="37">
        <f>SUMIFS(qPL_Fact!$D:$D,qPL_Fact!$C:$C,$B59,qPL_Fact!$A:$A,S$3)</f>
        <v/>
      </c>
      <c r="T59" s="37">
        <f>SUMIFS(qPL_Fact!$D:$D,qPL_Fact!$C:$C,$B59,qPL_Fact!$A:$A,T$3)</f>
        <v/>
      </c>
    </row>
    <row r="60">
      <c r="A60" s="39" t="n"/>
      <c r="B60" s="40" t="inlineStr">
        <is>
          <t>Total Operating Expenses</t>
        </is>
      </c>
      <c r="C60" s="41">
        <f>SUM(I60:T60)</f>
        <v/>
      </c>
      <c r="D60" s="41">
        <f>SUMIFS(qPL_Fact!$D:$D,qPL_Fact!$C:$C,$B60,qPL_Fact!$A:$A,D$3)</f>
        <v/>
      </c>
      <c r="E60" s="41">
        <f>SUMIFS(qPL_Fact!$D:$D,qPL_Fact!$C:$C,$B60,qPL_Fact!$A:$A,E$3)</f>
        <v/>
      </c>
      <c r="F60" s="41">
        <f>SUMIFS(qPL_Fact!$D:$D,qPL_Fact!$C:$C,$B60,qPL_Fact!$A:$A,F$3)</f>
        <v/>
      </c>
      <c r="G60" s="41">
        <f>SUMIFS(qPL_Fact!$D:$D,qPL_Fact!$C:$C,$B60,qPL_Fact!$A:$A,G$3)</f>
        <v/>
      </c>
      <c r="H60" s="41">
        <f>SUMIFS(qPL_Fact!$D:$D,qPL_Fact!$C:$C,$B60,qPL_Fact!$A:$A,H$3)</f>
        <v/>
      </c>
      <c r="I60" s="41">
        <f>SUMIFS(qPL_Fact!$D:$D,qPL_Fact!$C:$C,$B60,qPL_Fact!$A:$A,I$3)</f>
        <v/>
      </c>
      <c r="J60" s="41">
        <f>SUMIFS(qPL_Fact!$D:$D,qPL_Fact!$C:$C,$B60,qPL_Fact!$A:$A,J$3)</f>
        <v/>
      </c>
      <c r="K60" s="41">
        <f>SUMIFS(qPL_Fact!$D:$D,qPL_Fact!$C:$C,$B60,qPL_Fact!$A:$A,K$3)</f>
        <v/>
      </c>
      <c r="L60" s="41">
        <f>SUMIFS(qPL_Fact!$D:$D,qPL_Fact!$C:$C,$B60,qPL_Fact!$A:$A,L$3)</f>
        <v/>
      </c>
      <c r="M60" s="41">
        <f>SUMIFS(qPL_Fact!$D:$D,qPL_Fact!$C:$C,$B60,qPL_Fact!$A:$A,M$3)</f>
        <v/>
      </c>
      <c r="N60" s="41">
        <f>SUMIFS(qPL_Fact!$D:$D,qPL_Fact!$C:$C,$B60,qPL_Fact!$A:$A,N$3)</f>
        <v/>
      </c>
      <c r="O60" s="41">
        <f>SUMIFS(qPL_Fact!$D:$D,qPL_Fact!$C:$C,$B60,qPL_Fact!$A:$A,O$3)</f>
        <v/>
      </c>
      <c r="P60" s="41">
        <f>SUMIFS(qPL_Fact!$D:$D,qPL_Fact!$C:$C,$B60,qPL_Fact!$A:$A,P$3)</f>
        <v/>
      </c>
      <c r="Q60" s="41">
        <f>SUMIFS(qPL_Fact!$D:$D,qPL_Fact!$C:$C,$B60,qPL_Fact!$A:$A,Q$3)</f>
        <v/>
      </c>
      <c r="R60" s="41">
        <f>SUMIFS(qPL_Fact!$D:$D,qPL_Fact!$C:$C,$B60,qPL_Fact!$A:$A,R$3)</f>
        <v/>
      </c>
      <c r="S60" s="41">
        <f>SUMIFS(qPL_Fact!$D:$D,qPL_Fact!$C:$C,$B60,qPL_Fact!$A:$A,S$3)</f>
        <v/>
      </c>
      <c r="T60" s="41">
        <f>SUMIFS(qPL_Fact!$D:$D,qPL_Fact!$C:$C,$B60,qPL_Fact!$A:$A,T$3)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</row>
    <row r="62">
      <c r="A62" s="42" t="n"/>
      <c r="B62" s="43" t="inlineStr">
        <is>
          <t>NET OPERATING INCOME (NOI)</t>
        </is>
      </c>
      <c r="C62" s="44">
        <f>SUM(I62:T62)</f>
        <v/>
      </c>
      <c r="D62" s="44">
        <f>SUMIFS(qPL_Fact!$D:$D,qPL_Fact!$C:$C,$B62,qPL_Fact!$A:$A,D$3)</f>
        <v/>
      </c>
      <c r="E62" s="44">
        <f>SUMIFS(qPL_Fact!$D:$D,qPL_Fact!$C:$C,$B62,qPL_Fact!$A:$A,E$3)</f>
        <v/>
      </c>
      <c r="F62" s="44">
        <f>SUMIFS(qPL_Fact!$D:$D,qPL_Fact!$C:$C,$B62,qPL_Fact!$A:$A,F$3)</f>
        <v/>
      </c>
      <c r="G62" s="44">
        <f>SUMIFS(qPL_Fact!$D:$D,qPL_Fact!$C:$C,$B62,qPL_Fact!$A:$A,G$3)</f>
        <v/>
      </c>
      <c r="H62" s="44">
        <f>SUMIFS(qPL_Fact!$D:$D,qPL_Fact!$C:$C,$B62,qPL_Fact!$A:$A,H$3)</f>
        <v/>
      </c>
      <c r="I62" s="44">
        <f>SUMIFS(qPL_Fact!$D:$D,qPL_Fact!$C:$C,$B62,qPL_Fact!$A:$A,I$3)</f>
        <v/>
      </c>
      <c r="J62" s="44">
        <f>SUMIFS(qPL_Fact!$D:$D,qPL_Fact!$C:$C,$B62,qPL_Fact!$A:$A,J$3)</f>
        <v/>
      </c>
      <c r="K62" s="44">
        <f>SUMIFS(qPL_Fact!$D:$D,qPL_Fact!$C:$C,$B62,qPL_Fact!$A:$A,K$3)</f>
        <v/>
      </c>
      <c r="L62" s="44">
        <f>SUMIFS(qPL_Fact!$D:$D,qPL_Fact!$C:$C,$B62,qPL_Fact!$A:$A,L$3)</f>
        <v/>
      </c>
      <c r="M62" s="44">
        <f>SUMIFS(qPL_Fact!$D:$D,qPL_Fact!$C:$C,$B62,qPL_Fact!$A:$A,M$3)</f>
        <v/>
      </c>
      <c r="N62" s="44">
        <f>SUMIFS(qPL_Fact!$D:$D,qPL_Fact!$C:$C,$B62,qPL_Fact!$A:$A,N$3)</f>
        <v/>
      </c>
      <c r="O62" s="44">
        <f>SUMIFS(qPL_Fact!$D:$D,qPL_Fact!$C:$C,$B62,qPL_Fact!$A:$A,O$3)</f>
        <v/>
      </c>
      <c r="P62" s="44">
        <f>SUMIFS(qPL_Fact!$D:$D,qPL_Fact!$C:$C,$B62,qPL_Fact!$A:$A,P$3)</f>
        <v/>
      </c>
      <c r="Q62" s="44">
        <f>SUMIFS(qPL_Fact!$D:$D,qPL_Fact!$C:$C,$B62,qPL_Fact!$A:$A,Q$3)</f>
        <v/>
      </c>
      <c r="R62" s="44">
        <f>SUMIFS(qPL_Fact!$D:$D,qPL_Fact!$C:$C,$B62,qPL_Fact!$A:$A,R$3)</f>
        <v/>
      </c>
      <c r="S62" s="44">
        <f>SUMIFS(qPL_Fact!$D:$D,qPL_Fact!$C:$C,$B62,qPL_Fact!$A:$A,S$3)</f>
        <v/>
      </c>
      <c r="T62" s="44">
        <f>SUMIFS(qPL_Fact!$D:$D,qPL_Fact!$C:$C,$B62,qPL_Fact!$A:$A,T$3)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</row>
    <row r="64" ht="20" customHeight="1">
      <c r="A64" s="6" t="n"/>
      <c r="B64" s="6" t="inlineStr">
        <is>
          <t>DEBT SERVICE</t>
        </is>
      </c>
      <c r="C64" s="36">
        <f>SUM(I64:T64)</f>
        <v/>
      </c>
      <c r="D64" s="36">
        <f>SUMIFS(qPL_Fact!$D:$D,qPL_Fact!$C:$C,$B64,qPL_Fact!$A:$A,D$3)</f>
        <v/>
      </c>
      <c r="E64" s="36">
        <f>SUMIFS(qPL_Fact!$D:$D,qPL_Fact!$C:$C,$B64,qPL_Fact!$A:$A,E$3)</f>
        <v/>
      </c>
      <c r="F64" s="36">
        <f>SUMIFS(qPL_Fact!$D:$D,qPL_Fact!$C:$C,$B64,qPL_Fact!$A:$A,F$3)</f>
        <v/>
      </c>
      <c r="G64" s="36">
        <f>SUMIFS(qPL_Fact!$D:$D,qPL_Fact!$C:$C,$B64,qPL_Fact!$A:$A,G$3)</f>
        <v/>
      </c>
      <c r="H64" s="36">
        <f>SUMIFS(qPL_Fact!$D:$D,qPL_Fact!$C:$C,$B64,qPL_Fact!$A:$A,H$3)</f>
        <v/>
      </c>
      <c r="I64" s="36">
        <f>SUMIFS(qPL_Fact!$D:$D,qPL_Fact!$C:$C,$B64,qPL_Fact!$A:$A,I$3)</f>
        <v/>
      </c>
      <c r="J64" s="36">
        <f>SUMIFS(qPL_Fact!$D:$D,qPL_Fact!$C:$C,$B64,qPL_Fact!$A:$A,J$3)</f>
        <v/>
      </c>
      <c r="K64" s="36">
        <f>SUMIFS(qPL_Fact!$D:$D,qPL_Fact!$C:$C,$B64,qPL_Fact!$A:$A,K$3)</f>
        <v/>
      </c>
      <c r="L64" s="36">
        <f>SUMIFS(qPL_Fact!$D:$D,qPL_Fact!$C:$C,$B64,qPL_Fact!$A:$A,L$3)</f>
        <v/>
      </c>
      <c r="M64" s="36">
        <f>SUMIFS(qPL_Fact!$D:$D,qPL_Fact!$C:$C,$B64,qPL_Fact!$A:$A,M$3)</f>
        <v/>
      </c>
      <c r="N64" s="36">
        <f>SUMIFS(qPL_Fact!$D:$D,qPL_Fact!$C:$C,$B64,qPL_Fact!$A:$A,N$3)</f>
        <v/>
      </c>
      <c r="O64" s="36">
        <f>SUMIFS(qPL_Fact!$D:$D,qPL_Fact!$C:$C,$B64,qPL_Fact!$A:$A,O$3)</f>
        <v/>
      </c>
      <c r="P64" s="36">
        <f>SUMIFS(qPL_Fact!$D:$D,qPL_Fact!$C:$C,$B64,qPL_Fact!$A:$A,P$3)</f>
        <v/>
      </c>
      <c r="Q64" s="36">
        <f>SUMIFS(qPL_Fact!$D:$D,qPL_Fact!$C:$C,$B64,qPL_Fact!$A:$A,Q$3)</f>
        <v/>
      </c>
      <c r="R64" s="36">
        <f>SUMIFS(qPL_Fact!$D:$D,qPL_Fact!$C:$C,$B64,qPL_Fact!$A:$A,R$3)</f>
        <v/>
      </c>
      <c r="S64" s="36">
        <f>SUMIFS(qPL_Fact!$D:$D,qPL_Fact!$C:$C,$B64,qPL_Fact!$A:$A,S$3)</f>
        <v/>
      </c>
      <c r="T64" s="36">
        <f>SUMIFS(qPL_Fact!$D:$D,qPL_Fact!$C:$C,$B64,qPL_Fact!$A:$A,T$3)</f>
        <v/>
      </c>
    </row>
    <row r="65">
      <c r="A65" s="8" t="inlineStr">
        <is>
          <t>6119</t>
        </is>
      </c>
      <c r="B65" s="10" t="inlineStr">
        <is>
          <t>Principal</t>
        </is>
      </c>
      <c r="C65" s="37">
        <f>SUM(I65:T65)</f>
        <v/>
      </c>
      <c r="D65" s="37">
        <f>SUMIFS(qPL_Fact!$D:$D,qPL_Fact!$C:$C,$B65,qPL_Fact!$A:$A,D$3)</f>
        <v/>
      </c>
      <c r="E65" s="37">
        <f>SUMIFS(qPL_Fact!$D:$D,qPL_Fact!$C:$C,$B65,qPL_Fact!$A:$A,E$3)</f>
        <v/>
      </c>
      <c r="F65" s="37">
        <f>SUMIFS(qPL_Fact!$D:$D,qPL_Fact!$C:$C,$B65,qPL_Fact!$A:$A,F$3)</f>
        <v/>
      </c>
      <c r="G65" s="37">
        <f>SUMIFS(qPL_Fact!$D:$D,qPL_Fact!$C:$C,$B65,qPL_Fact!$A:$A,G$3)</f>
        <v/>
      </c>
      <c r="H65" s="37">
        <f>SUMIFS(qPL_Fact!$D:$D,qPL_Fact!$C:$C,$B65,qPL_Fact!$A:$A,H$3)</f>
        <v/>
      </c>
      <c r="I65" s="37">
        <f>SUMIFS(qPL_Fact!$D:$D,qPL_Fact!$C:$C,$B65,qPL_Fact!$A:$A,I$3)</f>
        <v/>
      </c>
      <c r="J65" s="37">
        <f>SUMIFS(qPL_Fact!$D:$D,qPL_Fact!$C:$C,$B65,qPL_Fact!$A:$A,J$3)</f>
        <v/>
      </c>
      <c r="K65" s="37">
        <f>SUMIFS(qPL_Fact!$D:$D,qPL_Fact!$C:$C,$B65,qPL_Fact!$A:$A,K$3)</f>
        <v/>
      </c>
      <c r="L65" s="37">
        <f>SUMIFS(qPL_Fact!$D:$D,qPL_Fact!$C:$C,$B65,qPL_Fact!$A:$A,L$3)</f>
        <v/>
      </c>
      <c r="M65" s="37">
        <f>SUMIFS(qPL_Fact!$D:$D,qPL_Fact!$C:$C,$B65,qPL_Fact!$A:$A,M$3)</f>
        <v/>
      </c>
      <c r="N65" s="37">
        <f>SUMIFS(qPL_Fact!$D:$D,qPL_Fact!$C:$C,$B65,qPL_Fact!$A:$A,N$3)</f>
        <v/>
      </c>
      <c r="O65" s="37">
        <f>SUMIFS(qPL_Fact!$D:$D,qPL_Fact!$C:$C,$B65,qPL_Fact!$A:$A,O$3)</f>
        <v/>
      </c>
      <c r="P65" s="37">
        <f>SUMIFS(qPL_Fact!$D:$D,qPL_Fact!$C:$C,$B65,qPL_Fact!$A:$A,P$3)</f>
        <v/>
      </c>
      <c r="Q65" s="37">
        <f>SUMIFS(qPL_Fact!$D:$D,qPL_Fact!$C:$C,$B65,qPL_Fact!$A:$A,Q$3)</f>
        <v/>
      </c>
      <c r="R65" s="37">
        <f>SUMIFS(qPL_Fact!$D:$D,qPL_Fact!$C:$C,$B65,qPL_Fact!$A:$A,R$3)</f>
        <v/>
      </c>
      <c r="S65" s="37">
        <f>SUMIFS(qPL_Fact!$D:$D,qPL_Fact!$C:$C,$B65,qPL_Fact!$A:$A,S$3)</f>
        <v/>
      </c>
      <c r="T65" s="37">
        <f>SUMIFS(qPL_Fact!$D:$D,qPL_Fact!$C:$C,$B65,qPL_Fact!$A:$A,T$3)</f>
        <v/>
      </c>
    </row>
    <row r="66">
      <c r="A66" s="11" t="inlineStr">
        <is>
          <t>6121</t>
        </is>
      </c>
      <c r="B66" s="12" t="inlineStr">
        <is>
          <t>Interest</t>
        </is>
      </c>
      <c r="C66" s="38">
        <f>SUM(I66:T66)</f>
        <v/>
      </c>
      <c r="D66" s="38">
        <f>SUMIFS(qPL_Fact!$D:$D,qPL_Fact!$C:$C,$B66,qPL_Fact!$A:$A,D$3)</f>
        <v/>
      </c>
      <c r="E66" s="38">
        <f>SUMIFS(qPL_Fact!$D:$D,qPL_Fact!$C:$C,$B66,qPL_Fact!$A:$A,E$3)</f>
        <v/>
      </c>
      <c r="F66" s="38">
        <f>SUMIFS(qPL_Fact!$D:$D,qPL_Fact!$C:$C,$B66,qPL_Fact!$A:$A,F$3)</f>
        <v/>
      </c>
      <c r="G66" s="38">
        <f>SUMIFS(qPL_Fact!$D:$D,qPL_Fact!$C:$C,$B66,qPL_Fact!$A:$A,G$3)</f>
        <v/>
      </c>
      <c r="H66" s="38">
        <f>SUMIFS(qPL_Fact!$D:$D,qPL_Fact!$C:$C,$B66,qPL_Fact!$A:$A,H$3)</f>
        <v/>
      </c>
      <c r="I66" s="38">
        <f>SUMIFS(qPL_Fact!$D:$D,qPL_Fact!$C:$C,$B66,qPL_Fact!$A:$A,I$3)</f>
        <v/>
      </c>
      <c r="J66" s="38">
        <f>SUMIFS(qPL_Fact!$D:$D,qPL_Fact!$C:$C,$B66,qPL_Fact!$A:$A,J$3)</f>
        <v/>
      </c>
      <c r="K66" s="38">
        <f>SUMIFS(qPL_Fact!$D:$D,qPL_Fact!$C:$C,$B66,qPL_Fact!$A:$A,K$3)</f>
        <v/>
      </c>
      <c r="L66" s="38">
        <f>SUMIFS(qPL_Fact!$D:$D,qPL_Fact!$C:$C,$B66,qPL_Fact!$A:$A,L$3)</f>
        <v/>
      </c>
      <c r="M66" s="38">
        <f>SUMIFS(qPL_Fact!$D:$D,qPL_Fact!$C:$C,$B66,qPL_Fact!$A:$A,M$3)</f>
        <v/>
      </c>
      <c r="N66" s="38">
        <f>SUMIFS(qPL_Fact!$D:$D,qPL_Fact!$C:$C,$B66,qPL_Fact!$A:$A,N$3)</f>
        <v/>
      </c>
      <c r="O66" s="38">
        <f>SUMIFS(qPL_Fact!$D:$D,qPL_Fact!$C:$C,$B66,qPL_Fact!$A:$A,O$3)</f>
        <v/>
      </c>
      <c r="P66" s="38">
        <f>SUMIFS(qPL_Fact!$D:$D,qPL_Fact!$C:$C,$B66,qPL_Fact!$A:$A,P$3)</f>
        <v/>
      </c>
      <c r="Q66" s="38">
        <f>SUMIFS(qPL_Fact!$D:$D,qPL_Fact!$C:$C,$B66,qPL_Fact!$A:$A,Q$3)</f>
        <v/>
      </c>
      <c r="R66" s="38">
        <f>SUMIFS(qPL_Fact!$D:$D,qPL_Fact!$C:$C,$B66,qPL_Fact!$A:$A,R$3)</f>
        <v/>
      </c>
      <c r="S66" s="38">
        <f>SUMIFS(qPL_Fact!$D:$D,qPL_Fact!$C:$C,$B66,qPL_Fact!$A:$A,S$3)</f>
        <v/>
      </c>
      <c r="T66" s="38">
        <f>SUMIFS(qPL_Fact!$D:$D,qPL_Fact!$C:$C,$B66,qPL_Fact!$A:$A,T$3)</f>
        <v/>
      </c>
    </row>
    <row r="67">
      <c r="A67" s="39" t="n"/>
      <c r="B67" s="40" t="inlineStr">
        <is>
          <t>Total Debt Service</t>
        </is>
      </c>
      <c r="C67" s="41">
        <f>SUM(I67:T67)</f>
        <v/>
      </c>
      <c r="D67" s="41">
        <f>SUMIFS(qPL_Fact!$D:$D,qPL_Fact!$C:$C,$B67,qPL_Fact!$A:$A,D$3)</f>
        <v/>
      </c>
      <c r="E67" s="41">
        <f>SUMIFS(qPL_Fact!$D:$D,qPL_Fact!$C:$C,$B67,qPL_Fact!$A:$A,E$3)</f>
        <v/>
      </c>
      <c r="F67" s="41">
        <f>SUMIFS(qPL_Fact!$D:$D,qPL_Fact!$C:$C,$B67,qPL_Fact!$A:$A,F$3)</f>
        <v/>
      </c>
      <c r="G67" s="41">
        <f>SUMIFS(qPL_Fact!$D:$D,qPL_Fact!$C:$C,$B67,qPL_Fact!$A:$A,G$3)</f>
        <v/>
      </c>
      <c r="H67" s="41">
        <f>SUMIFS(qPL_Fact!$D:$D,qPL_Fact!$C:$C,$B67,qPL_Fact!$A:$A,H$3)</f>
        <v/>
      </c>
      <c r="I67" s="41">
        <f>SUMIFS(qPL_Fact!$D:$D,qPL_Fact!$C:$C,$B67,qPL_Fact!$A:$A,I$3)</f>
        <v/>
      </c>
      <c r="J67" s="41">
        <f>SUMIFS(qPL_Fact!$D:$D,qPL_Fact!$C:$C,$B67,qPL_Fact!$A:$A,J$3)</f>
        <v/>
      </c>
      <c r="K67" s="41">
        <f>SUMIFS(qPL_Fact!$D:$D,qPL_Fact!$C:$C,$B67,qPL_Fact!$A:$A,K$3)</f>
        <v/>
      </c>
      <c r="L67" s="41">
        <f>SUMIFS(qPL_Fact!$D:$D,qPL_Fact!$C:$C,$B67,qPL_Fact!$A:$A,L$3)</f>
        <v/>
      </c>
      <c r="M67" s="41">
        <f>SUMIFS(qPL_Fact!$D:$D,qPL_Fact!$C:$C,$B67,qPL_Fact!$A:$A,M$3)</f>
        <v/>
      </c>
      <c r="N67" s="41">
        <f>SUMIFS(qPL_Fact!$D:$D,qPL_Fact!$C:$C,$B67,qPL_Fact!$A:$A,N$3)</f>
        <v/>
      </c>
      <c r="O67" s="41">
        <f>SUMIFS(qPL_Fact!$D:$D,qPL_Fact!$C:$C,$B67,qPL_Fact!$A:$A,O$3)</f>
        <v/>
      </c>
      <c r="P67" s="41">
        <f>SUMIFS(qPL_Fact!$D:$D,qPL_Fact!$C:$C,$B67,qPL_Fact!$A:$A,P$3)</f>
        <v/>
      </c>
      <c r="Q67" s="41">
        <f>SUMIFS(qPL_Fact!$D:$D,qPL_Fact!$C:$C,$B67,qPL_Fact!$A:$A,Q$3)</f>
        <v/>
      </c>
      <c r="R67" s="41">
        <f>SUMIFS(qPL_Fact!$D:$D,qPL_Fact!$C:$C,$B67,qPL_Fact!$A:$A,R$3)</f>
        <v/>
      </c>
      <c r="S67" s="41">
        <f>SUMIFS(qPL_Fact!$D:$D,qPL_Fact!$C:$C,$B67,qPL_Fact!$A:$A,S$3)</f>
        <v/>
      </c>
      <c r="T67" s="41">
        <f>SUMIFS(qPL_Fact!$D:$D,qPL_Fact!$C:$C,$B67,qPL_Fact!$A:$A,T$3)</f>
        <v/>
      </c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</row>
    <row r="69">
      <c r="A69" s="42" t="n"/>
      <c r="B69" s="43" t="inlineStr">
        <is>
          <t>CASH FLOW AFTER DEBT SERVICE</t>
        </is>
      </c>
      <c r="C69" s="44">
        <f>SUM(I69:T69)</f>
        <v/>
      </c>
      <c r="D69" s="44">
        <f>SUMIFS(qPL_Fact!$D:$D,qPL_Fact!$C:$C,$B69,qPL_Fact!$A:$A,D$3)</f>
        <v/>
      </c>
      <c r="E69" s="44">
        <f>SUMIFS(qPL_Fact!$D:$D,qPL_Fact!$C:$C,$B69,qPL_Fact!$A:$A,E$3)</f>
        <v/>
      </c>
      <c r="F69" s="44">
        <f>SUMIFS(qPL_Fact!$D:$D,qPL_Fact!$C:$C,$B69,qPL_Fact!$A:$A,F$3)</f>
        <v/>
      </c>
      <c r="G69" s="44">
        <f>SUMIFS(qPL_Fact!$D:$D,qPL_Fact!$C:$C,$B69,qPL_Fact!$A:$A,G$3)</f>
        <v/>
      </c>
      <c r="H69" s="44">
        <f>SUMIFS(qPL_Fact!$D:$D,qPL_Fact!$C:$C,$B69,qPL_Fact!$A:$A,H$3)</f>
        <v/>
      </c>
      <c r="I69" s="44">
        <f>SUMIFS(qPL_Fact!$D:$D,qPL_Fact!$C:$C,$B69,qPL_Fact!$A:$A,I$3)</f>
        <v/>
      </c>
      <c r="J69" s="44">
        <f>SUMIFS(qPL_Fact!$D:$D,qPL_Fact!$C:$C,$B69,qPL_Fact!$A:$A,J$3)</f>
        <v/>
      </c>
      <c r="K69" s="44">
        <f>SUMIFS(qPL_Fact!$D:$D,qPL_Fact!$C:$C,$B69,qPL_Fact!$A:$A,K$3)</f>
        <v/>
      </c>
      <c r="L69" s="44">
        <f>SUMIFS(qPL_Fact!$D:$D,qPL_Fact!$C:$C,$B69,qPL_Fact!$A:$A,L$3)</f>
        <v/>
      </c>
      <c r="M69" s="44">
        <f>SUMIFS(qPL_Fact!$D:$D,qPL_Fact!$C:$C,$B69,qPL_Fact!$A:$A,M$3)</f>
        <v/>
      </c>
      <c r="N69" s="44">
        <f>SUMIFS(qPL_Fact!$D:$D,qPL_Fact!$C:$C,$B69,qPL_Fact!$A:$A,N$3)</f>
        <v/>
      </c>
      <c r="O69" s="44">
        <f>SUMIFS(qPL_Fact!$D:$D,qPL_Fact!$C:$C,$B69,qPL_Fact!$A:$A,O$3)</f>
        <v/>
      </c>
      <c r="P69" s="44">
        <f>SUMIFS(qPL_Fact!$D:$D,qPL_Fact!$C:$C,$B69,qPL_Fact!$A:$A,P$3)</f>
        <v/>
      </c>
      <c r="Q69" s="44">
        <f>SUMIFS(qPL_Fact!$D:$D,qPL_Fact!$C:$C,$B69,qPL_Fact!$A:$A,Q$3)</f>
        <v/>
      </c>
      <c r="R69" s="44">
        <f>SUMIFS(qPL_Fact!$D:$D,qPL_Fact!$C:$C,$B69,qPL_Fact!$A:$A,R$3)</f>
        <v/>
      </c>
      <c r="S69" s="44">
        <f>SUMIFS(qPL_Fact!$D:$D,qPL_Fact!$C:$C,$B69,qPL_Fact!$A:$A,S$3)</f>
        <v/>
      </c>
      <c r="T69" s="44">
        <f>SUMIFS(qPL_Fact!$D:$D,qPL_Fact!$C:$C,$B69,qPL_Fact!$A:$A,T$3)</f>
        <v/>
      </c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</row>
    <row r="71" ht="20" customHeight="1">
      <c r="A71" s="6" t="n"/>
      <c r="B71" s="6" t="inlineStr">
        <is>
          <t>CAPITAL EXPENDITURES (Below the Line)</t>
        </is>
      </c>
      <c r="C71" s="36">
        <f>SUM(I71:T71)</f>
        <v/>
      </c>
      <c r="D71" s="36">
        <f>SUMIFS(qPL_Fact!$D:$D,qPL_Fact!$C:$C,$B71,qPL_Fact!$A:$A,D$3)</f>
        <v/>
      </c>
      <c r="E71" s="36">
        <f>SUMIFS(qPL_Fact!$D:$D,qPL_Fact!$C:$C,$B71,qPL_Fact!$A:$A,E$3)</f>
        <v/>
      </c>
      <c r="F71" s="36">
        <f>SUMIFS(qPL_Fact!$D:$D,qPL_Fact!$C:$C,$B71,qPL_Fact!$A:$A,F$3)</f>
        <v/>
      </c>
      <c r="G71" s="36">
        <f>SUMIFS(qPL_Fact!$D:$D,qPL_Fact!$C:$C,$B71,qPL_Fact!$A:$A,G$3)</f>
        <v/>
      </c>
      <c r="H71" s="36">
        <f>SUMIFS(qPL_Fact!$D:$D,qPL_Fact!$C:$C,$B71,qPL_Fact!$A:$A,H$3)</f>
        <v/>
      </c>
      <c r="I71" s="36">
        <f>SUMIFS(qPL_Fact!$D:$D,qPL_Fact!$C:$C,$B71,qPL_Fact!$A:$A,I$3)</f>
        <v/>
      </c>
      <c r="J71" s="36">
        <f>SUMIFS(qPL_Fact!$D:$D,qPL_Fact!$C:$C,$B71,qPL_Fact!$A:$A,J$3)</f>
        <v/>
      </c>
      <c r="K71" s="36">
        <f>SUMIFS(qPL_Fact!$D:$D,qPL_Fact!$C:$C,$B71,qPL_Fact!$A:$A,K$3)</f>
        <v/>
      </c>
      <c r="L71" s="36">
        <f>SUMIFS(qPL_Fact!$D:$D,qPL_Fact!$C:$C,$B71,qPL_Fact!$A:$A,L$3)</f>
        <v/>
      </c>
      <c r="M71" s="36">
        <f>SUMIFS(qPL_Fact!$D:$D,qPL_Fact!$C:$C,$B71,qPL_Fact!$A:$A,M$3)</f>
        <v/>
      </c>
      <c r="N71" s="36">
        <f>SUMIFS(qPL_Fact!$D:$D,qPL_Fact!$C:$C,$B71,qPL_Fact!$A:$A,N$3)</f>
        <v/>
      </c>
      <c r="O71" s="36">
        <f>SUMIFS(qPL_Fact!$D:$D,qPL_Fact!$C:$C,$B71,qPL_Fact!$A:$A,O$3)</f>
        <v/>
      </c>
      <c r="P71" s="36">
        <f>SUMIFS(qPL_Fact!$D:$D,qPL_Fact!$C:$C,$B71,qPL_Fact!$A:$A,P$3)</f>
        <v/>
      </c>
      <c r="Q71" s="36">
        <f>SUMIFS(qPL_Fact!$D:$D,qPL_Fact!$C:$C,$B71,qPL_Fact!$A:$A,Q$3)</f>
        <v/>
      </c>
      <c r="R71" s="36">
        <f>SUMIFS(qPL_Fact!$D:$D,qPL_Fact!$C:$C,$B71,qPL_Fact!$A:$A,R$3)</f>
        <v/>
      </c>
      <c r="S71" s="36">
        <f>SUMIFS(qPL_Fact!$D:$D,qPL_Fact!$C:$C,$B71,qPL_Fact!$A:$A,S$3)</f>
        <v/>
      </c>
      <c r="T71" s="36">
        <f>SUMIFS(qPL_Fact!$D:$D,qPL_Fact!$C:$C,$B71,qPL_Fact!$A:$A,T$3)</f>
        <v/>
      </c>
    </row>
    <row r="72">
      <c r="A72" s="11" t="inlineStr">
        <is>
          <t>7010</t>
        </is>
      </c>
      <c r="B72" s="12" t="inlineStr">
        <is>
          <t>Appliances</t>
        </is>
      </c>
      <c r="C72" s="38">
        <f>SUM(I72:T72)</f>
        <v/>
      </c>
      <c r="D72" s="38">
        <f>SUMIFS(qPL_Fact!$D:$D,qPL_Fact!$C:$C,$B72,qPL_Fact!$A:$A,D$3)</f>
        <v/>
      </c>
      <c r="E72" s="38">
        <f>SUMIFS(qPL_Fact!$D:$D,qPL_Fact!$C:$C,$B72,qPL_Fact!$A:$A,E$3)</f>
        <v/>
      </c>
      <c r="F72" s="38">
        <f>SUMIFS(qPL_Fact!$D:$D,qPL_Fact!$C:$C,$B72,qPL_Fact!$A:$A,F$3)</f>
        <v/>
      </c>
      <c r="G72" s="38">
        <f>SUMIFS(qPL_Fact!$D:$D,qPL_Fact!$C:$C,$B72,qPL_Fact!$A:$A,G$3)</f>
        <v/>
      </c>
      <c r="H72" s="38">
        <f>SUMIFS(qPL_Fact!$D:$D,qPL_Fact!$C:$C,$B72,qPL_Fact!$A:$A,H$3)</f>
        <v/>
      </c>
      <c r="I72" s="38">
        <f>SUMIFS(qPL_Fact!$D:$D,qPL_Fact!$C:$C,$B72,qPL_Fact!$A:$A,I$3)</f>
        <v/>
      </c>
      <c r="J72" s="38">
        <f>SUMIFS(qPL_Fact!$D:$D,qPL_Fact!$C:$C,$B72,qPL_Fact!$A:$A,J$3)</f>
        <v/>
      </c>
      <c r="K72" s="38">
        <f>SUMIFS(qPL_Fact!$D:$D,qPL_Fact!$C:$C,$B72,qPL_Fact!$A:$A,K$3)</f>
        <v/>
      </c>
      <c r="L72" s="38">
        <f>SUMIFS(qPL_Fact!$D:$D,qPL_Fact!$C:$C,$B72,qPL_Fact!$A:$A,L$3)</f>
        <v/>
      </c>
      <c r="M72" s="38">
        <f>SUMIFS(qPL_Fact!$D:$D,qPL_Fact!$C:$C,$B72,qPL_Fact!$A:$A,M$3)</f>
        <v/>
      </c>
      <c r="N72" s="38">
        <f>SUMIFS(qPL_Fact!$D:$D,qPL_Fact!$C:$C,$B72,qPL_Fact!$A:$A,N$3)</f>
        <v/>
      </c>
      <c r="O72" s="38">
        <f>SUMIFS(qPL_Fact!$D:$D,qPL_Fact!$C:$C,$B72,qPL_Fact!$A:$A,O$3)</f>
        <v/>
      </c>
      <c r="P72" s="38">
        <f>SUMIFS(qPL_Fact!$D:$D,qPL_Fact!$C:$C,$B72,qPL_Fact!$A:$A,P$3)</f>
        <v/>
      </c>
      <c r="Q72" s="38">
        <f>SUMIFS(qPL_Fact!$D:$D,qPL_Fact!$C:$C,$B72,qPL_Fact!$A:$A,Q$3)</f>
        <v/>
      </c>
      <c r="R72" s="38">
        <f>SUMIFS(qPL_Fact!$D:$D,qPL_Fact!$C:$C,$B72,qPL_Fact!$A:$A,R$3)</f>
        <v/>
      </c>
      <c r="S72" s="38">
        <f>SUMIFS(qPL_Fact!$D:$D,qPL_Fact!$C:$C,$B72,qPL_Fact!$A:$A,S$3)</f>
        <v/>
      </c>
      <c r="T72" s="38">
        <f>SUMIFS(qPL_Fact!$D:$D,qPL_Fact!$C:$C,$B72,qPL_Fact!$A:$A,T$3)</f>
        <v/>
      </c>
    </row>
    <row r="73">
      <c r="A73" s="8" t="inlineStr">
        <is>
          <t>7020</t>
        </is>
      </c>
      <c r="B73" s="10" t="inlineStr">
        <is>
          <t>Equipment/Tools</t>
        </is>
      </c>
      <c r="C73" s="37">
        <f>SUM(I73:T73)</f>
        <v/>
      </c>
      <c r="D73" s="37">
        <f>SUMIFS(qPL_Fact!$D:$D,qPL_Fact!$C:$C,$B73,qPL_Fact!$A:$A,D$3)</f>
        <v/>
      </c>
      <c r="E73" s="37">
        <f>SUMIFS(qPL_Fact!$D:$D,qPL_Fact!$C:$C,$B73,qPL_Fact!$A:$A,E$3)</f>
        <v/>
      </c>
      <c r="F73" s="37">
        <f>SUMIFS(qPL_Fact!$D:$D,qPL_Fact!$C:$C,$B73,qPL_Fact!$A:$A,F$3)</f>
        <v/>
      </c>
      <c r="G73" s="37">
        <f>SUMIFS(qPL_Fact!$D:$D,qPL_Fact!$C:$C,$B73,qPL_Fact!$A:$A,G$3)</f>
        <v/>
      </c>
      <c r="H73" s="37">
        <f>SUMIFS(qPL_Fact!$D:$D,qPL_Fact!$C:$C,$B73,qPL_Fact!$A:$A,H$3)</f>
        <v/>
      </c>
      <c r="I73" s="37">
        <f>SUMIFS(qPL_Fact!$D:$D,qPL_Fact!$C:$C,$B73,qPL_Fact!$A:$A,I$3)</f>
        <v/>
      </c>
      <c r="J73" s="37">
        <f>SUMIFS(qPL_Fact!$D:$D,qPL_Fact!$C:$C,$B73,qPL_Fact!$A:$A,J$3)</f>
        <v/>
      </c>
      <c r="K73" s="37">
        <f>SUMIFS(qPL_Fact!$D:$D,qPL_Fact!$C:$C,$B73,qPL_Fact!$A:$A,K$3)</f>
        <v/>
      </c>
      <c r="L73" s="37">
        <f>SUMIFS(qPL_Fact!$D:$D,qPL_Fact!$C:$C,$B73,qPL_Fact!$A:$A,L$3)</f>
        <v/>
      </c>
      <c r="M73" s="37">
        <f>SUMIFS(qPL_Fact!$D:$D,qPL_Fact!$C:$C,$B73,qPL_Fact!$A:$A,M$3)</f>
        <v/>
      </c>
      <c r="N73" s="37">
        <f>SUMIFS(qPL_Fact!$D:$D,qPL_Fact!$C:$C,$B73,qPL_Fact!$A:$A,N$3)</f>
        <v/>
      </c>
      <c r="O73" s="37">
        <f>SUMIFS(qPL_Fact!$D:$D,qPL_Fact!$C:$C,$B73,qPL_Fact!$A:$A,O$3)</f>
        <v/>
      </c>
      <c r="P73" s="37">
        <f>SUMIFS(qPL_Fact!$D:$D,qPL_Fact!$C:$C,$B73,qPL_Fact!$A:$A,P$3)</f>
        <v/>
      </c>
      <c r="Q73" s="37">
        <f>SUMIFS(qPL_Fact!$D:$D,qPL_Fact!$C:$C,$B73,qPL_Fact!$A:$A,Q$3)</f>
        <v/>
      </c>
      <c r="R73" s="37">
        <f>SUMIFS(qPL_Fact!$D:$D,qPL_Fact!$C:$C,$B73,qPL_Fact!$A:$A,R$3)</f>
        <v/>
      </c>
      <c r="S73" s="37">
        <f>SUMIFS(qPL_Fact!$D:$D,qPL_Fact!$C:$C,$B73,qPL_Fact!$A:$A,S$3)</f>
        <v/>
      </c>
      <c r="T73" s="37">
        <f>SUMIFS(qPL_Fact!$D:$D,qPL_Fact!$C:$C,$B73,qPL_Fact!$A:$A,T$3)</f>
        <v/>
      </c>
    </row>
    <row r="74">
      <c r="A74" s="11" t="inlineStr">
        <is>
          <t>7030</t>
        </is>
      </c>
      <c r="B74" s="12" t="inlineStr">
        <is>
          <t>Remodel</t>
        </is>
      </c>
      <c r="C74" s="38">
        <f>SUM(I74:T74)</f>
        <v/>
      </c>
      <c r="D74" s="38">
        <f>SUMIFS(qPL_Fact!$D:$D,qPL_Fact!$C:$C,$B74,qPL_Fact!$A:$A,D$3)</f>
        <v/>
      </c>
      <c r="E74" s="38">
        <f>SUMIFS(qPL_Fact!$D:$D,qPL_Fact!$C:$C,$B74,qPL_Fact!$A:$A,E$3)</f>
        <v/>
      </c>
      <c r="F74" s="38">
        <f>SUMIFS(qPL_Fact!$D:$D,qPL_Fact!$C:$C,$B74,qPL_Fact!$A:$A,F$3)</f>
        <v/>
      </c>
      <c r="G74" s="38">
        <f>SUMIFS(qPL_Fact!$D:$D,qPL_Fact!$C:$C,$B74,qPL_Fact!$A:$A,G$3)</f>
        <v/>
      </c>
      <c r="H74" s="38">
        <f>SUMIFS(qPL_Fact!$D:$D,qPL_Fact!$C:$C,$B74,qPL_Fact!$A:$A,H$3)</f>
        <v/>
      </c>
      <c r="I74" s="38">
        <f>SUMIFS(qPL_Fact!$D:$D,qPL_Fact!$C:$C,$B74,qPL_Fact!$A:$A,I$3)</f>
        <v/>
      </c>
      <c r="J74" s="38">
        <f>SUMIFS(qPL_Fact!$D:$D,qPL_Fact!$C:$C,$B74,qPL_Fact!$A:$A,J$3)</f>
        <v/>
      </c>
      <c r="K74" s="38">
        <f>SUMIFS(qPL_Fact!$D:$D,qPL_Fact!$C:$C,$B74,qPL_Fact!$A:$A,K$3)</f>
        <v/>
      </c>
      <c r="L74" s="38">
        <f>SUMIFS(qPL_Fact!$D:$D,qPL_Fact!$C:$C,$B74,qPL_Fact!$A:$A,L$3)</f>
        <v/>
      </c>
      <c r="M74" s="38">
        <f>SUMIFS(qPL_Fact!$D:$D,qPL_Fact!$C:$C,$B74,qPL_Fact!$A:$A,M$3)</f>
        <v/>
      </c>
      <c r="N74" s="38">
        <f>SUMIFS(qPL_Fact!$D:$D,qPL_Fact!$C:$C,$B74,qPL_Fact!$A:$A,N$3)</f>
        <v/>
      </c>
      <c r="O74" s="38">
        <f>SUMIFS(qPL_Fact!$D:$D,qPL_Fact!$C:$C,$B74,qPL_Fact!$A:$A,O$3)</f>
        <v/>
      </c>
      <c r="P74" s="38">
        <f>SUMIFS(qPL_Fact!$D:$D,qPL_Fact!$C:$C,$B74,qPL_Fact!$A:$A,P$3)</f>
        <v/>
      </c>
      <c r="Q74" s="38">
        <f>SUMIFS(qPL_Fact!$D:$D,qPL_Fact!$C:$C,$B74,qPL_Fact!$A:$A,Q$3)</f>
        <v/>
      </c>
      <c r="R74" s="38">
        <f>SUMIFS(qPL_Fact!$D:$D,qPL_Fact!$C:$C,$B74,qPL_Fact!$A:$A,R$3)</f>
        <v/>
      </c>
      <c r="S74" s="38">
        <f>SUMIFS(qPL_Fact!$D:$D,qPL_Fact!$C:$C,$B74,qPL_Fact!$A:$A,S$3)</f>
        <v/>
      </c>
      <c r="T74" s="38">
        <f>SUMIFS(qPL_Fact!$D:$D,qPL_Fact!$C:$C,$B74,qPL_Fact!$A:$A,T$3)</f>
        <v/>
      </c>
    </row>
    <row r="75">
      <c r="A75" s="8" t="inlineStr">
        <is>
          <t>7060</t>
        </is>
      </c>
      <c r="B75" s="10" t="inlineStr">
        <is>
          <t>Labor</t>
        </is>
      </c>
      <c r="C75" s="37">
        <f>SUM(I75:T75)</f>
        <v/>
      </c>
      <c r="D75" s="37">
        <f>SUMIFS(qPL_Fact!$D:$D,qPL_Fact!$C:$C,$B75,qPL_Fact!$A:$A,D$3)</f>
        <v/>
      </c>
      <c r="E75" s="37">
        <f>SUMIFS(qPL_Fact!$D:$D,qPL_Fact!$C:$C,$B75,qPL_Fact!$A:$A,E$3)</f>
        <v/>
      </c>
      <c r="F75" s="37">
        <f>SUMIFS(qPL_Fact!$D:$D,qPL_Fact!$C:$C,$B75,qPL_Fact!$A:$A,F$3)</f>
        <v/>
      </c>
      <c r="G75" s="37">
        <f>SUMIFS(qPL_Fact!$D:$D,qPL_Fact!$C:$C,$B75,qPL_Fact!$A:$A,G$3)</f>
        <v/>
      </c>
      <c r="H75" s="37">
        <f>SUMIFS(qPL_Fact!$D:$D,qPL_Fact!$C:$C,$B75,qPL_Fact!$A:$A,H$3)</f>
        <v/>
      </c>
      <c r="I75" s="37">
        <f>SUMIFS(qPL_Fact!$D:$D,qPL_Fact!$C:$C,$B75,qPL_Fact!$A:$A,I$3)</f>
        <v/>
      </c>
      <c r="J75" s="37">
        <f>SUMIFS(qPL_Fact!$D:$D,qPL_Fact!$C:$C,$B75,qPL_Fact!$A:$A,J$3)</f>
        <v/>
      </c>
      <c r="K75" s="37">
        <f>SUMIFS(qPL_Fact!$D:$D,qPL_Fact!$C:$C,$B75,qPL_Fact!$A:$A,K$3)</f>
        <v/>
      </c>
      <c r="L75" s="37">
        <f>SUMIFS(qPL_Fact!$D:$D,qPL_Fact!$C:$C,$B75,qPL_Fact!$A:$A,L$3)</f>
        <v/>
      </c>
      <c r="M75" s="37">
        <f>SUMIFS(qPL_Fact!$D:$D,qPL_Fact!$C:$C,$B75,qPL_Fact!$A:$A,M$3)</f>
        <v/>
      </c>
      <c r="N75" s="37">
        <f>SUMIFS(qPL_Fact!$D:$D,qPL_Fact!$C:$C,$B75,qPL_Fact!$A:$A,N$3)</f>
        <v/>
      </c>
      <c r="O75" s="37">
        <f>SUMIFS(qPL_Fact!$D:$D,qPL_Fact!$C:$C,$B75,qPL_Fact!$A:$A,O$3)</f>
        <v/>
      </c>
      <c r="P75" s="37">
        <f>SUMIFS(qPL_Fact!$D:$D,qPL_Fact!$C:$C,$B75,qPL_Fact!$A:$A,P$3)</f>
        <v/>
      </c>
      <c r="Q75" s="37">
        <f>SUMIFS(qPL_Fact!$D:$D,qPL_Fact!$C:$C,$B75,qPL_Fact!$A:$A,Q$3)</f>
        <v/>
      </c>
      <c r="R75" s="37">
        <f>SUMIFS(qPL_Fact!$D:$D,qPL_Fact!$C:$C,$B75,qPL_Fact!$A:$A,R$3)</f>
        <v/>
      </c>
      <c r="S75" s="37">
        <f>SUMIFS(qPL_Fact!$D:$D,qPL_Fact!$C:$C,$B75,qPL_Fact!$A:$A,S$3)</f>
        <v/>
      </c>
      <c r="T75" s="37">
        <f>SUMIFS(qPL_Fact!$D:$D,qPL_Fact!$C:$C,$B75,qPL_Fact!$A:$A,T$3)</f>
        <v/>
      </c>
    </row>
    <row r="76">
      <c r="A76" s="11" t="inlineStr">
        <is>
          <t>7070</t>
        </is>
      </c>
      <c r="B76" s="12" t="inlineStr">
        <is>
          <t>Flooring</t>
        </is>
      </c>
      <c r="C76" s="38">
        <f>SUM(I76:T76)</f>
        <v/>
      </c>
      <c r="D76" s="38">
        <f>SUMIFS(qPL_Fact!$D:$D,qPL_Fact!$C:$C,$B76,qPL_Fact!$A:$A,D$3)</f>
        <v/>
      </c>
      <c r="E76" s="38">
        <f>SUMIFS(qPL_Fact!$D:$D,qPL_Fact!$C:$C,$B76,qPL_Fact!$A:$A,E$3)</f>
        <v/>
      </c>
      <c r="F76" s="38">
        <f>SUMIFS(qPL_Fact!$D:$D,qPL_Fact!$C:$C,$B76,qPL_Fact!$A:$A,F$3)</f>
        <v/>
      </c>
      <c r="G76" s="38">
        <f>SUMIFS(qPL_Fact!$D:$D,qPL_Fact!$C:$C,$B76,qPL_Fact!$A:$A,G$3)</f>
        <v/>
      </c>
      <c r="H76" s="38">
        <f>SUMIFS(qPL_Fact!$D:$D,qPL_Fact!$C:$C,$B76,qPL_Fact!$A:$A,H$3)</f>
        <v/>
      </c>
      <c r="I76" s="38">
        <f>SUMIFS(qPL_Fact!$D:$D,qPL_Fact!$C:$C,$B76,qPL_Fact!$A:$A,I$3)</f>
        <v/>
      </c>
      <c r="J76" s="38">
        <f>SUMIFS(qPL_Fact!$D:$D,qPL_Fact!$C:$C,$B76,qPL_Fact!$A:$A,J$3)</f>
        <v/>
      </c>
      <c r="K76" s="38">
        <f>SUMIFS(qPL_Fact!$D:$D,qPL_Fact!$C:$C,$B76,qPL_Fact!$A:$A,K$3)</f>
        <v/>
      </c>
      <c r="L76" s="38">
        <f>SUMIFS(qPL_Fact!$D:$D,qPL_Fact!$C:$C,$B76,qPL_Fact!$A:$A,L$3)</f>
        <v/>
      </c>
      <c r="M76" s="38">
        <f>SUMIFS(qPL_Fact!$D:$D,qPL_Fact!$C:$C,$B76,qPL_Fact!$A:$A,M$3)</f>
        <v/>
      </c>
      <c r="N76" s="38">
        <f>SUMIFS(qPL_Fact!$D:$D,qPL_Fact!$C:$C,$B76,qPL_Fact!$A:$A,N$3)</f>
        <v/>
      </c>
      <c r="O76" s="38">
        <f>SUMIFS(qPL_Fact!$D:$D,qPL_Fact!$C:$C,$B76,qPL_Fact!$A:$A,O$3)</f>
        <v/>
      </c>
      <c r="P76" s="38">
        <f>SUMIFS(qPL_Fact!$D:$D,qPL_Fact!$C:$C,$B76,qPL_Fact!$A:$A,P$3)</f>
        <v/>
      </c>
      <c r="Q76" s="38">
        <f>SUMIFS(qPL_Fact!$D:$D,qPL_Fact!$C:$C,$B76,qPL_Fact!$A:$A,Q$3)</f>
        <v/>
      </c>
      <c r="R76" s="38">
        <f>SUMIFS(qPL_Fact!$D:$D,qPL_Fact!$C:$C,$B76,qPL_Fact!$A:$A,R$3)</f>
        <v/>
      </c>
      <c r="S76" s="38">
        <f>SUMIFS(qPL_Fact!$D:$D,qPL_Fact!$C:$C,$B76,qPL_Fact!$A:$A,S$3)</f>
        <v/>
      </c>
      <c r="T76" s="38">
        <f>SUMIFS(qPL_Fact!$D:$D,qPL_Fact!$C:$C,$B76,qPL_Fact!$A:$A,T$3)</f>
        <v/>
      </c>
    </row>
    <row r="77">
      <c r="A77" s="8" t="inlineStr">
        <is>
          <t>7080</t>
        </is>
      </c>
      <c r="B77" s="10" t="inlineStr">
        <is>
          <t>Hardware</t>
        </is>
      </c>
      <c r="C77" s="37">
        <f>SUM(I77:T77)</f>
        <v/>
      </c>
      <c r="D77" s="37">
        <f>SUMIFS(qPL_Fact!$D:$D,qPL_Fact!$C:$C,$B77,qPL_Fact!$A:$A,D$3)</f>
        <v/>
      </c>
      <c r="E77" s="37">
        <f>SUMIFS(qPL_Fact!$D:$D,qPL_Fact!$C:$C,$B77,qPL_Fact!$A:$A,E$3)</f>
        <v/>
      </c>
      <c r="F77" s="37">
        <f>SUMIFS(qPL_Fact!$D:$D,qPL_Fact!$C:$C,$B77,qPL_Fact!$A:$A,F$3)</f>
        <v/>
      </c>
      <c r="G77" s="37">
        <f>SUMIFS(qPL_Fact!$D:$D,qPL_Fact!$C:$C,$B77,qPL_Fact!$A:$A,G$3)</f>
        <v/>
      </c>
      <c r="H77" s="37">
        <f>SUMIFS(qPL_Fact!$D:$D,qPL_Fact!$C:$C,$B77,qPL_Fact!$A:$A,H$3)</f>
        <v/>
      </c>
      <c r="I77" s="37">
        <f>SUMIFS(qPL_Fact!$D:$D,qPL_Fact!$C:$C,$B77,qPL_Fact!$A:$A,I$3)</f>
        <v/>
      </c>
      <c r="J77" s="37">
        <f>SUMIFS(qPL_Fact!$D:$D,qPL_Fact!$C:$C,$B77,qPL_Fact!$A:$A,J$3)</f>
        <v/>
      </c>
      <c r="K77" s="37">
        <f>SUMIFS(qPL_Fact!$D:$D,qPL_Fact!$C:$C,$B77,qPL_Fact!$A:$A,K$3)</f>
        <v/>
      </c>
      <c r="L77" s="37">
        <f>SUMIFS(qPL_Fact!$D:$D,qPL_Fact!$C:$C,$B77,qPL_Fact!$A:$A,L$3)</f>
        <v/>
      </c>
      <c r="M77" s="37">
        <f>SUMIFS(qPL_Fact!$D:$D,qPL_Fact!$C:$C,$B77,qPL_Fact!$A:$A,M$3)</f>
        <v/>
      </c>
      <c r="N77" s="37">
        <f>SUMIFS(qPL_Fact!$D:$D,qPL_Fact!$C:$C,$B77,qPL_Fact!$A:$A,N$3)</f>
        <v/>
      </c>
      <c r="O77" s="37">
        <f>SUMIFS(qPL_Fact!$D:$D,qPL_Fact!$C:$C,$B77,qPL_Fact!$A:$A,O$3)</f>
        <v/>
      </c>
      <c r="P77" s="37">
        <f>SUMIFS(qPL_Fact!$D:$D,qPL_Fact!$C:$C,$B77,qPL_Fact!$A:$A,P$3)</f>
        <v/>
      </c>
      <c r="Q77" s="37">
        <f>SUMIFS(qPL_Fact!$D:$D,qPL_Fact!$C:$C,$B77,qPL_Fact!$A:$A,Q$3)</f>
        <v/>
      </c>
      <c r="R77" s="37">
        <f>SUMIFS(qPL_Fact!$D:$D,qPL_Fact!$C:$C,$B77,qPL_Fact!$A:$A,R$3)</f>
        <v/>
      </c>
      <c r="S77" s="37">
        <f>SUMIFS(qPL_Fact!$D:$D,qPL_Fact!$C:$C,$B77,qPL_Fact!$A:$A,S$3)</f>
        <v/>
      </c>
      <c r="T77" s="37">
        <f>SUMIFS(qPL_Fact!$D:$D,qPL_Fact!$C:$C,$B77,qPL_Fact!$A:$A,T$3)</f>
        <v/>
      </c>
    </row>
    <row r="78">
      <c r="A78" s="11" t="inlineStr">
        <is>
          <t>7090</t>
        </is>
      </c>
      <c r="B78" s="12" t="inlineStr">
        <is>
          <t>Cabinets</t>
        </is>
      </c>
      <c r="C78" s="38">
        <f>SUM(I78:T78)</f>
        <v/>
      </c>
      <c r="D78" s="38">
        <f>SUMIFS(qPL_Fact!$D:$D,qPL_Fact!$C:$C,$B78,qPL_Fact!$A:$A,D$3)</f>
        <v/>
      </c>
      <c r="E78" s="38">
        <f>SUMIFS(qPL_Fact!$D:$D,qPL_Fact!$C:$C,$B78,qPL_Fact!$A:$A,E$3)</f>
        <v/>
      </c>
      <c r="F78" s="38">
        <f>SUMIFS(qPL_Fact!$D:$D,qPL_Fact!$C:$C,$B78,qPL_Fact!$A:$A,F$3)</f>
        <v/>
      </c>
      <c r="G78" s="38">
        <f>SUMIFS(qPL_Fact!$D:$D,qPL_Fact!$C:$C,$B78,qPL_Fact!$A:$A,G$3)</f>
        <v/>
      </c>
      <c r="H78" s="38">
        <f>SUMIFS(qPL_Fact!$D:$D,qPL_Fact!$C:$C,$B78,qPL_Fact!$A:$A,H$3)</f>
        <v/>
      </c>
      <c r="I78" s="38">
        <f>SUMIFS(qPL_Fact!$D:$D,qPL_Fact!$C:$C,$B78,qPL_Fact!$A:$A,I$3)</f>
        <v/>
      </c>
      <c r="J78" s="38">
        <f>SUMIFS(qPL_Fact!$D:$D,qPL_Fact!$C:$C,$B78,qPL_Fact!$A:$A,J$3)</f>
        <v/>
      </c>
      <c r="K78" s="38">
        <f>SUMIFS(qPL_Fact!$D:$D,qPL_Fact!$C:$C,$B78,qPL_Fact!$A:$A,K$3)</f>
        <v/>
      </c>
      <c r="L78" s="38">
        <f>SUMIFS(qPL_Fact!$D:$D,qPL_Fact!$C:$C,$B78,qPL_Fact!$A:$A,L$3)</f>
        <v/>
      </c>
      <c r="M78" s="38">
        <f>SUMIFS(qPL_Fact!$D:$D,qPL_Fact!$C:$C,$B78,qPL_Fact!$A:$A,M$3)</f>
        <v/>
      </c>
      <c r="N78" s="38">
        <f>SUMIFS(qPL_Fact!$D:$D,qPL_Fact!$C:$C,$B78,qPL_Fact!$A:$A,N$3)</f>
        <v/>
      </c>
      <c r="O78" s="38">
        <f>SUMIFS(qPL_Fact!$D:$D,qPL_Fact!$C:$C,$B78,qPL_Fact!$A:$A,O$3)</f>
        <v/>
      </c>
      <c r="P78" s="38">
        <f>SUMIFS(qPL_Fact!$D:$D,qPL_Fact!$C:$C,$B78,qPL_Fact!$A:$A,P$3)</f>
        <v/>
      </c>
      <c r="Q78" s="38">
        <f>SUMIFS(qPL_Fact!$D:$D,qPL_Fact!$C:$C,$B78,qPL_Fact!$A:$A,Q$3)</f>
        <v/>
      </c>
      <c r="R78" s="38">
        <f>SUMIFS(qPL_Fact!$D:$D,qPL_Fact!$C:$C,$B78,qPL_Fact!$A:$A,R$3)</f>
        <v/>
      </c>
      <c r="S78" s="38">
        <f>SUMIFS(qPL_Fact!$D:$D,qPL_Fact!$C:$C,$B78,qPL_Fact!$A:$A,S$3)</f>
        <v/>
      </c>
      <c r="T78" s="38">
        <f>SUMIFS(qPL_Fact!$D:$D,qPL_Fact!$C:$C,$B78,qPL_Fact!$A:$A,T$3)</f>
        <v/>
      </c>
    </row>
    <row r="79">
      <c r="A79" s="8" t="inlineStr">
        <is>
          <t>7100</t>
        </is>
      </c>
      <c r="B79" s="10" t="inlineStr">
        <is>
          <t>Supplies</t>
        </is>
      </c>
      <c r="C79" s="37">
        <f>SUM(I79:T79)</f>
        <v/>
      </c>
      <c r="D79" s="37">
        <f>SUMIFS(qPL_Fact!$D:$D,qPL_Fact!$C:$C,$B79,qPL_Fact!$A:$A,D$3)</f>
        <v/>
      </c>
      <c r="E79" s="37">
        <f>SUMIFS(qPL_Fact!$D:$D,qPL_Fact!$C:$C,$B79,qPL_Fact!$A:$A,E$3)</f>
        <v/>
      </c>
      <c r="F79" s="37">
        <f>SUMIFS(qPL_Fact!$D:$D,qPL_Fact!$C:$C,$B79,qPL_Fact!$A:$A,F$3)</f>
        <v/>
      </c>
      <c r="G79" s="37">
        <f>SUMIFS(qPL_Fact!$D:$D,qPL_Fact!$C:$C,$B79,qPL_Fact!$A:$A,G$3)</f>
        <v/>
      </c>
      <c r="H79" s="37">
        <f>SUMIFS(qPL_Fact!$D:$D,qPL_Fact!$C:$C,$B79,qPL_Fact!$A:$A,H$3)</f>
        <v/>
      </c>
      <c r="I79" s="37">
        <f>SUMIFS(qPL_Fact!$D:$D,qPL_Fact!$C:$C,$B79,qPL_Fact!$A:$A,I$3)</f>
        <v/>
      </c>
      <c r="J79" s="37">
        <f>SUMIFS(qPL_Fact!$D:$D,qPL_Fact!$C:$C,$B79,qPL_Fact!$A:$A,J$3)</f>
        <v/>
      </c>
      <c r="K79" s="37">
        <f>SUMIFS(qPL_Fact!$D:$D,qPL_Fact!$C:$C,$B79,qPL_Fact!$A:$A,K$3)</f>
        <v/>
      </c>
      <c r="L79" s="37">
        <f>SUMIFS(qPL_Fact!$D:$D,qPL_Fact!$C:$C,$B79,qPL_Fact!$A:$A,L$3)</f>
        <v/>
      </c>
      <c r="M79" s="37">
        <f>SUMIFS(qPL_Fact!$D:$D,qPL_Fact!$C:$C,$B79,qPL_Fact!$A:$A,M$3)</f>
        <v/>
      </c>
      <c r="N79" s="37">
        <f>SUMIFS(qPL_Fact!$D:$D,qPL_Fact!$C:$C,$B79,qPL_Fact!$A:$A,N$3)</f>
        <v/>
      </c>
      <c r="O79" s="37">
        <f>SUMIFS(qPL_Fact!$D:$D,qPL_Fact!$C:$C,$B79,qPL_Fact!$A:$A,O$3)</f>
        <v/>
      </c>
      <c r="P79" s="37">
        <f>SUMIFS(qPL_Fact!$D:$D,qPL_Fact!$C:$C,$B79,qPL_Fact!$A:$A,P$3)</f>
        <v/>
      </c>
      <c r="Q79" s="37">
        <f>SUMIFS(qPL_Fact!$D:$D,qPL_Fact!$C:$C,$B79,qPL_Fact!$A:$A,Q$3)</f>
        <v/>
      </c>
      <c r="R79" s="37">
        <f>SUMIFS(qPL_Fact!$D:$D,qPL_Fact!$C:$C,$B79,qPL_Fact!$A:$A,R$3)</f>
        <v/>
      </c>
      <c r="S79" s="37">
        <f>SUMIFS(qPL_Fact!$D:$D,qPL_Fact!$C:$C,$B79,qPL_Fact!$A:$A,S$3)</f>
        <v/>
      </c>
      <c r="T79" s="37">
        <f>SUMIFS(qPL_Fact!$D:$D,qPL_Fact!$C:$C,$B79,qPL_Fact!$A:$A,T$3)</f>
        <v/>
      </c>
    </row>
    <row r="80">
      <c r="A80" s="11" t="inlineStr">
        <is>
          <t>7110</t>
        </is>
      </c>
      <c r="B80" s="12" t="inlineStr">
        <is>
          <t>Paint</t>
        </is>
      </c>
      <c r="C80" s="38">
        <f>SUM(I80:T80)</f>
        <v/>
      </c>
      <c r="D80" s="38">
        <f>SUMIFS(qPL_Fact!$D:$D,qPL_Fact!$C:$C,$B80,qPL_Fact!$A:$A,D$3)</f>
        <v/>
      </c>
      <c r="E80" s="38">
        <f>SUMIFS(qPL_Fact!$D:$D,qPL_Fact!$C:$C,$B80,qPL_Fact!$A:$A,E$3)</f>
        <v/>
      </c>
      <c r="F80" s="38">
        <f>SUMIFS(qPL_Fact!$D:$D,qPL_Fact!$C:$C,$B80,qPL_Fact!$A:$A,F$3)</f>
        <v/>
      </c>
      <c r="G80" s="38">
        <f>SUMIFS(qPL_Fact!$D:$D,qPL_Fact!$C:$C,$B80,qPL_Fact!$A:$A,G$3)</f>
        <v/>
      </c>
      <c r="H80" s="38">
        <f>SUMIFS(qPL_Fact!$D:$D,qPL_Fact!$C:$C,$B80,qPL_Fact!$A:$A,H$3)</f>
        <v/>
      </c>
      <c r="I80" s="38">
        <f>SUMIFS(qPL_Fact!$D:$D,qPL_Fact!$C:$C,$B80,qPL_Fact!$A:$A,I$3)</f>
        <v/>
      </c>
      <c r="J80" s="38">
        <f>SUMIFS(qPL_Fact!$D:$D,qPL_Fact!$C:$C,$B80,qPL_Fact!$A:$A,J$3)</f>
        <v/>
      </c>
      <c r="K80" s="38">
        <f>SUMIFS(qPL_Fact!$D:$D,qPL_Fact!$C:$C,$B80,qPL_Fact!$A:$A,K$3)</f>
        <v/>
      </c>
      <c r="L80" s="38">
        <f>SUMIFS(qPL_Fact!$D:$D,qPL_Fact!$C:$C,$B80,qPL_Fact!$A:$A,L$3)</f>
        <v/>
      </c>
      <c r="M80" s="38">
        <f>SUMIFS(qPL_Fact!$D:$D,qPL_Fact!$C:$C,$B80,qPL_Fact!$A:$A,M$3)</f>
        <v/>
      </c>
      <c r="N80" s="38">
        <f>SUMIFS(qPL_Fact!$D:$D,qPL_Fact!$C:$C,$B80,qPL_Fact!$A:$A,N$3)</f>
        <v/>
      </c>
      <c r="O80" s="38">
        <f>SUMIFS(qPL_Fact!$D:$D,qPL_Fact!$C:$C,$B80,qPL_Fact!$A:$A,O$3)</f>
        <v/>
      </c>
      <c r="P80" s="38">
        <f>SUMIFS(qPL_Fact!$D:$D,qPL_Fact!$C:$C,$B80,qPL_Fact!$A:$A,P$3)</f>
        <v/>
      </c>
      <c r="Q80" s="38">
        <f>SUMIFS(qPL_Fact!$D:$D,qPL_Fact!$C:$C,$B80,qPL_Fact!$A:$A,Q$3)</f>
        <v/>
      </c>
      <c r="R80" s="38">
        <f>SUMIFS(qPL_Fact!$D:$D,qPL_Fact!$C:$C,$B80,qPL_Fact!$A:$A,R$3)</f>
        <v/>
      </c>
      <c r="S80" s="38">
        <f>SUMIFS(qPL_Fact!$D:$D,qPL_Fact!$C:$C,$B80,qPL_Fact!$A:$A,S$3)</f>
        <v/>
      </c>
      <c r="T80" s="38">
        <f>SUMIFS(qPL_Fact!$D:$D,qPL_Fact!$C:$C,$B80,qPL_Fact!$A:$A,T$3)</f>
        <v/>
      </c>
    </row>
    <row r="81">
      <c r="A81" s="39" t="n"/>
      <c r="B81" s="40" t="inlineStr">
        <is>
          <t>Total Capital Expenditures</t>
        </is>
      </c>
      <c r="C81" s="41">
        <f>SUM(I81:T81)</f>
        <v/>
      </c>
      <c r="D81" s="41">
        <f>SUMIFS(qPL_Fact!$D:$D,qPL_Fact!$C:$C,$B81,qPL_Fact!$A:$A,D$3)</f>
        <v/>
      </c>
      <c r="E81" s="41">
        <f>SUMIFS(qPL_Fact!$D:$D,qPL_Fact!$C:$C,$B81,qPL_Fact!$A:$A,E$3)</f>
        <v/>
      </c>
      <c r="F81" s="41">
        <f>SUMIFS(qPL_Fact!$D:$D,qPL_Fact!$C:$C,$B81,qPL_Fact!$A:$A,F$3)</f>
        <v/>
      </c>
      <c r="G81" s="41">
        <f>SUMIFS(qPL_Fact!$D:$D,qPL_Fact!$C:$C,$B81,qPL_Fact!$A:$A,G$3)</f>
        <v/>
      </c>
      <c r="H81" s="41">
        <f>SUMIFS(qPL_Fact!$D:$D,qPL_Fact!$C:$C,$B81,qPL_Fact!$A:$A,H$3)</f>
        <v/>
      </c>
      <c r="I81" s="41">
        <f>SUMIFS(qPL_Fact!$D:$D,qPL_Fact!$C:$C,$B81,qPL_Fact!$A:$A,I$3)</f>
        <v/>
      </c>
      <c r="J81" s="41">
        <f>SUMIFS(qPL_Fact!$D:$D,qPL_Fact!$C:$C,$B81,qPL_Fact!$A:$A,J$3)</f>
        <v/>
      </c>
      <c r="K81" s="41">
        <f>SUMIFS(qPL_Fact!$D:$D,qPL_Fact!$C:$C,$B81,qPL_Fact!$A:$A,K$3)</f>
        <v/>
      </c>
      <c r="L81" s="41">
        <f>SUMIFS(qPL_Fact!$D:$D,qPL_Fact!$C:$C,$B81,qPL_Fact!$A:$A,L$3)</f>
        <v/>
      </c>
      <c r="M81" s="41">
        <f>SUMIFS(qPL_Fact!$D:$D,qPL_Fact!$C:$C,$B81,qPL_Fact!$A:$A,M$3)</f>
        <v/>
      </c>
      <c r="N81" s="41">
        <f>SUMIFS(qPL_Fact!$D:$D,qPL_Fact!$C:$C,$B81,qPL_Fact!$A:$A,N$3)</f>
        <v/>
      </c>
      <c r="O81" s="41">
        <f>SUMIFS(qPL_Fact!$D:$D,qPL_Fact!$C:$C,$B81,qPL_Fact!$A:$A,O$3)</f>
        <v/>
      </c>
      <c r="P81" s="41">
        <f>SUMIFS(qPL_Fact!$D:$D,qPL_Fact!$C:$C,$B81,qPL_Fact!$A:$A,P$3)</f>
        <v/>
      </c>
      <c r="Q81" s="41">
        <f>SUMIFS(qPL_Fact!$D:$D,qPL_Fact!$C:$C,$B81,qPL_Fact!$A:$A,Q$3)</f>
        <v/>
      </c>
      <c r="R81" s="41">
        <f>SUMIFS(qPL_Fact!$D:$D,qPL_Fact!$C:$C,$B81,qPL_Fact!$A:$A,R$3)</f>
        <v/>
      </c>
      <c r="S81" s="41">
        <f>SUMIFS(qPL_Fact!$D:$D,qPL_Fact!$C:$C,$B81,qPL_Fact!$A:$A,S$3)</f>
        <v/>
      </c>
      <c r="T81" s="41">
        <f>SUMIFS(qPL_Fact!$D:$D,qPL_Fact!$C:$C,$B81,qPL_Fact!$A:$A,T$3)</f>
        <v/>
      </c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</row>
    <row r="83">
      <c r="A83" s="42" t="n"/>
      <c r="B83" s="43" t="inlineStr">
        <is>
          <t>NET CASH FLOW</t>
        </is>
      </c>
      <c r="C83" s="44">
        <f>SUM(I83:T83)</f>
        <v/>
      </c>
      <c r="D83" s="44">
        <f>SUMIFS(qPL_Fact!$D:$D,qPL_Fact!$C:$C,$B83,qPL_Fact!$A:$A,D$3)</f>
        <v/>
      </c>
      <c r="E83" s="44">
        <f>SUMIFS(qPL_Fact!$D:$D,qPL_Fact!$C:$C,$B83,qPL_Fact!$A:$A,E$3)</f>
        <v/>
      </c>
      <c r="F83" s="44">
        <f>SUMIFS(qPL_Fact!$D:$D,qPL_Fact!$C:$C,$B83,qPL_Fact!$A:$A,F$3)</f>
        <v/>
      </c>
      <c r="G83" s="44">
        <f>SUMIFS(qPL_Fact!$D:$D,qPL_Fact!$C:$C,$B83,qPL_Fact!$A:$A,G$3)</f>
        <v/>
      </c>
      <c r="H83" s="44">
        <f>SUMIFS(qPL_Fact!$D:$D,qPL_Fact!$C:$C,$B83,qPL_Fact!$A:$A,H$3)</f>
        <v/>
      </c>
      <c r="I83" s="44">
        <f>SUMIFS(qPL_Fact!$D:$D,qPL_Fact!$C:$C,$B83,qPL_Fact!$A:$A,I$3)</f>
        <v/>
      </c>
      <c r="J83" s="44">
        <f>SUMIFS(qPL_Fact!$D:$D,qPL_Fact!$C:$C,$B83,qPL_Fact!$A:$A,J$3)</f>
        <v/>
      </c>
      <c r="K83" s="44">
        <f>SUMIFS(qPL_Fact!$D:$D,qPL_Fact!$C:$C,$B83,qPL_Fact!$A:$A,K$3)</f>
        <v/>
      </c>
      <c r="L83" s="44">
        <f>SUMIFS(qPL_Fact!$D:$D,qPL_Fact!$C:$C,$B83,qPL_Fact!$A:$A,L$3)</f>
        <v/>
      </c>
      <c r="M83" s="44">
        <f>SUMIFS(qPL_Fact!$D:$D,qPL_Fact!$C:$C,$B83,qPL_Fact!$A:$A,M$3)</f>
        <v/>
      </c>
      <c r="N83" s="44">
        <f>SUMIFS(qPL_Fact!$D:$D,qPL_Fact!$C:$C,$B83,qPL_Fact!$A:$A,N$3)</f>
        <v/>
      </c>
      <c r="O83" s="44">
        <f>SUMIFS(qPL_Fact!$D:$D,qPL_Fact!$C:$C,$B83,qPL_Fact!$A:$A,O$3)</f>
        <v/>
      </c>
      <c r="P83" s="44">
        <f>SUMIFS(qPL_Fact!$D:$D,qPL_Fact!$C:$C,$B83,qPL_Fact!$A:$A,P$3)</f>
        <v/>
      </c>
      <c r="Q83" s="44">
        <f>SUMIFS(qPL_Fact!$D:$D,qPL_Fact!$C:$C,$B83,qPL_Fact!$A:$A,Q$3)</f>
        <v/>
      </c>
      <c r="R83" s="44">
        <f>SUMIFS(qPL_Fact!$D:$D,qPL_Fact!$C:$C,$B83,qPL_Fact!$A:$A,R$3)</f>
        <v/>
      </c>
      <c r="S83" s="44">
        <f>SUMIFS(qPL_Fact!$D:$D,qPL_Fact!$C:$C,$B83,qPL_Fact!$A:$A,S$3)</f>
        <v/>
      </c>
      <c r="T83" s="44">
        <f>SUMIFS(qPL_Fact!$D:$D,qPL_Fact!$C:$C,$B83,qPL_Fact!$A:$A,T$3)</f>
        <v/>
      </c>
    </row>
    <row r="84">
      <c r="A84" s="20" t="n"/>
      <c r="B84" s="12" t="inlineStr">
        <is>
          <t>Cash-on-Cash (Ann.)</t>
        </is>
      </c>
      <c r="C84" s="45">
        <f>T84</f>
        <v/>
      </c>
      <c r="D84" s="45">
        <f>SUMIFS(qPL_Fact!$D:$D,qPL_Fact!$C:$C,$B84,qPL_Fact!$A:$A,D$3)</f>
        <v/>
      </c>
      <c r="E84" s="45">
        <f>SUMIFS(qPL_Fact!$D:$D,qPL_Fact!$C:$C,$B84,qPL_Fact!$A:$A,E$3)</f>
        <v/>
      </c>
      <c r="F84" s="45">
        <f>SUMIFS(qPL_Fact!$D:$D,qPL_Fact!$C:$C,$B84,qPL_Fact!$A:$A,F$3)</f>
        <v/>
      </c>
      <c r="G84" s="45">
        <f>SUMIFS(qPL_Fact!$D:$D,qPL_Fact!$C:$C,$B84,qPL_Fact!$A:$A,G$3)</f>
        <v/>
      </c>
      <c r="H84" s="45">
        <f>SUMIFS(qPL_Fact!$D:$D,qPL_Fact!$C:$C,$B84,qPL_Fact!$A:$A,H$3)</f>
        <v/>
      </c>
      <c r="I84" s="45">
        <f>SUMIFS(qPL_Fact!$D:$D,qPL_Fact!$C:$C,$B84,qPL_Fact!$A:$A,I$3)</f>
        <v/>
      </c>
      <c r="J84" s="45">
        <f>SUMIFS(qPL_Fact!$D:$D,qPL_Fact!$C:$C,$B84,qPL_Fact!$A:$A,J$3)</f>
        <v/>
      </c>
      <c r="K84" s="45">
        <f>SUMIFS(qPL_Fact!$D:$D,qPL_Fact!$C:$C,$B84,qPL_Fact!$A:$A,K$3)</f>
        <v/>
      </c>
      <c r="L84" s="45">
        <f>SUMIFS(qPL_Fact!$D:$D,qPL_Fact!$C:$C,$B84,qPL_Fact!$A:$A,L$3)</f>
        <v/>
      </c>
      <c r="M84" s="45">
        <f>SUMIFS(qPL_Fact!$D:$D,qPL_Fact!$C:$C,$B84,qPL_Fact!$A:$A,M$3)</f>
        <v/>
      </c>
      <c r="N84" s="45">
        <f>SUMIFS(qPL_Fact!$D:$D,qPL_Fact!$C:$C,$B84,qPL_Fact!$A:$A,N$3)</f>
        <v/>
      </c>
      <c r="O84" s="45">
        <f>SUMIFS(qPL_Fact!$D:$D,qPL_Fact!$C:$C,$B84,qPL_Fact!$A:$A,O$3)</f>
        <v/>
      </c>
      <c r="P84" s="45">
        <f>SUMIFS(qPL_Fact!$D:$D,qPL_Fact!$C:$C,$B84,qPL_Fact!$A:$A,P$3)</f>
        <v/>
      </c>
      <c r="Q84" s="45">
        <f>SUMIFS(qPL_Fact!$D:$D,qPL_Fact!$C:$C,$B84,qPL_Fact!$A:$A,Q$3)</f>
        <v/>
      </c>
      <c r="R84" s="45">
        <f>SUMIFS(qPL_Fact!$D:$D,qPL_Fact!$C:$C,$B84,qPL_Fact!$A:$A,R$3)</f>
        <v/>
      </c>
      <c r="S84" s="45">
        <f>SUMIFS(qPL_Fact!$D:$D,qPL_Fact!$C:$C,$B84,qPL_Fact!$A:$A,S$3)</f>
        <v/>
      </c>
      <c r="T84" s="45">
        <f>SUMIFS(qPL_Fact!$D:$D,qPL_Fact!$C:$C,$B84,qPL_Fact!$A:$A,T$3)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</row>
    <row r="86" ht="20" customHeight="1">
      <c r="A86" s="6" t="n"/>
      <c r="B86" s="6" t="inlineStr">
        <is>
          <t>KEY METRICS</t>
        </is>
      </c>
      <c r="C86" s="36">
        <f>SUM(I86:T86)</f>
        <v/>
      </c>
      <c r="D86" s="36">
        <f>SUMIFS(qPL_Fact!$D:$D,qPL_Fact!$C:$C,$B86,qPL_Fact!$A:$A,D$3)</f>
        <v/>
      </c>
      <c r="E86" s="36">
        <f>SUMIFS(qPL_Fact!$D:$D,qPL_Fact!$C:$C,$B86,qPL_Fact!$A:$A,E$3)</f>
        <v/>
      </c>
      <c r="F86" s="36">
        <f>SUMIFS(qPL_Fact!$D:$D,qPL_Fact!$C:$C,$B86,qPL_Fact!$A:$A,F$3)</f>
        <v/>
      </c>
      <c r="G86" s="36">
        <f>SUMIFS(qPL_Fact!$D:$D,qPL_Fact!$C:$C,$B86,qPL_Fact!$A:$A,G$3)</f>
        <v/>
      </c>
      <c r="H86" s="36">
        <f>SUMIFS(qPL_Fact!$D:$D,qPL_Fact!$C:$C,$B86,qPL_Fact!$A:$A,H$3)</f>
        <v/>
      </c>
      <c r="I86" s="36">
        <f>SUMIFS(qPL_Fact!$D:$D,qPL_Fact!$C:$C,$B86,qPL_Fact!$A:$A,I$3)</f>
        <v/>
      </c>
      <c r="J86" s="36">
        <f>SUMIFS(qPL_Fact!$D:$D,qPL_Fact!$C:$C,$B86,qPL_Fact!$A:$A,J$3)</f>
        <v/>
      </c>
      <c r="K86" s="36">
        <f>SUMIFS(qPL_Fact!$D:$D,qPL_Fact!$C:$C,$B86,qPL_Fact!$A:$A,K$3)</f>
        <v/>
      </c>
      <c r="L86" s="36">
        <f>SUMIFS(qPL_Fact!$D:$D,qPL_Fact!$C:$C,$B86,qPL_Fact!$A:$A,L$3)</f>
        <v/>
      </c>
      <c r="M86" s="36">
        <f>SUMIFS(qPL_Fact!$D:$D,qPL_Fact!$C:$C,$B86,qPL_Fact!$A:$A,M$3)</f>
        <v/>
      </c>
      <c r="N86" s="36">
        <f>SUMIFS(qPL_Fact!$D:$D,qPL_Fact!$C:$C,$B86,qPL_Fact!$A:$A,N$3)</f>
        <v/>
      </c>
      <c r="O86" s="36">
        <f>SUMIFS(qPL_Fact!$D:$D,qPL_Fact!$C:$C,$B86,qPL_Fact!$A:$A,O$3)</f>
        <v/>
      </c>
      <c r="P86" s="36">
        <f>SUMIFS(qPL_Fact!$D:$D,qPL_Fact!$C:$C,$B86,qPL_Fact!$A:$A,P$3)</f>
        <v/>
      </c>
      <c r="Q86" s="36">
        <f>SUMIFS(qPL_Fact!$D:$D,qPL_Fact!$C:$C,$B86,qPL_Fact!$A:$A,Q$3)</f>
        <v/>
      </c>
      <c r="R86" s="36">
        <f>SUMIFS(qPL_Fact!$D:$D,qPL_Fact!$C:$C,$B86,qPL_Fact!$A:$A,R$3)</f>
        <v/>
      </c>
      <c r="S86" s="36">
        <f>SUMIFS(qPL_Fact!$D:$D,qPL_Fact!$C:$C,$B86,qPL_Fact!$A:$A,S$3)</f>
        <v/>
      </c>
      <c r="T86" s="36">
        <f>SUMIFS(qPL_Fact!$D:$D,qPL_Fact!$C:$C,$B86,qPL_Fact!$A:$A,T$3)</f>
        <v/>
      </c>
    </row>
    <row r="87">
      <c r="A87" s="23" t="n"/>
      <c r="B87" s="10" t="inlineStr">
        <is>
          <t>DSCR</t>
        </is>
      </c>
      <c r="C87" s="46">
        <f>T87</f>
        <v/>
      </c>
      <c r="D87" s="46">
        <f>SUMIFS(qPL_Fact!$D:$D,qPL_Fact!$C:$C,$B87,qPL_Fact!$A:$A,D$3)</f>
        <v/>
      </c>
      <c r="E87" s="46">
        <f>SUMIFS(qPL_Fact!$D:$D,qPL_Fact!$C:$C,$B87,qPL_Fact!$A:$A,E$3)</f>
        <v/>
      </c>
      <c r="F87" s="46">
        <f>SUMIFS(qPL_Fact!$D:$D,qPL_Fact!$C:$C,$B87,qPL_Fact!$A:$A,F$3)</f>
        <v/>
      </c>
      <c r="G87" s="46">
        <f>SUMIFS(qPL_Fact!$D:$D,qPL_Fact!$C:$C,$B87,qPL_Fact!$A:$A,G$3)</f>
        <v/>
      </c>
      <c r="H87" s="46">
        <f>SUMIFS(qPL_Fact!$D:$D,qPL_Fact!$C:$C,$B87,qPL_Fact!$A:$A,H$3)</f>
        <v/>
      </c>
      <c r="I87" s="46">
        <f>SUMIFS(qPL_Fact!$D:$D,qPL_Fact!$C:$C,$B87,qPL_Fact!$A:$A,I$3)</f>
        <v/>
      </c>
      <c r="J87" s="46">
        <f>SUMIFS(qPL_Fact!$D:$D,qPL_Fact!$C:$C,$B87,qPL_Fact!$A:$A,J$3)</f>
        <v/>
      </c>
      <c r="K87" s="46">
        <f>SUMIFS(qPL_Fact!$D:$D,qPL_Fact!$C:$C,$B87,qPL_Fact!$A:$A,K$3)</f>
        <v/>
      </c>
      <c r="L87" s="46">
        <f>SUMIFS(qPL_Fact!$D:$D,qPL_Fact!$C:$C,$B87,qPL_Fact!$A:$A,L$3)</f>
        <v/>
      </c>
      <c r="M87" s="46">
        <f>SUMIFS(qPL_Fact!$D:$D,qPL_Fact!$C:$C,$B87,qPL_Fact!$A:$A,M$3)</f>
        <v/>
      </c>
      <c r="N87" s="46">
        <f>SUMIFS(qPL_Fact!$D:$D,qPL_Fact!$C:$C,$B87,qPL_Fact!$A:$A,N$3)</f>
        <v/>
      </c>
      <c r="O87" s="46">
        <f>SUMIFS(qPL_Fact!$D:$D,qPL_Fact!$C:$C,$B87,qPL_Fact!$A:$A,O$3)</f>
        <v/>
      </c>
      <c r="P87" s="46">
        <f>SUMIFS(qPL_Fact!$D:$D,qPL_Fact!$C:$C,$B87,qPL_Fact!$A:$A,P$3)</f>
        <v/>
      </c>
      <c r="Q87" s="46">
        <f>SUMIFS(qPL_Fact!$D:$D,qPL_Fact!$C:$C,$B87,qPL_Fact!$A:$A,Q$3)</f>
        <v/>
      </c>
      <c r="R87" s="46">
        <f>SUMIFS(qPL_Fact!$D:$D,qPL_Fact!$C:$C,$B87,qPL_Fact!$A:$A,R$3)</f>
        <v/>
      </c>
      <c r="S87" s="46">
        <f>SUMIFS(qPL_Fact!$D:$D,qPL_Fact!$C:$C,$B87,qPL_Fact!$A:$A,S$3)</f>
        <v/>
      </c>
      <c r="T87" s="46">
        <f>SUMIFS(qPL_Fact!$D:$D,qPL_Fact!$C:$C,$B87,qPL_Fact!$A:$A,T$3)</f>
        <v/>
      </c>
    </row>
    <row r="88">
      <c r="A88" s="20" t="n"/>
      <c r="B88" s="12" t="inlineStr">
        <is>
          <t>Cap Rate</t>
        </is>
      </c>
      <c r="C88" s="45">
        <f>T88</f>
        <v/>
      </c>
      <c r="D88" s="45">
        <f>SUMIFS(qPL_Fact!$D:$D,qPL_Fact!$C:$C,$B88,qPL_Fact!$A:$A,D$3)</f>
        <v/>
      </c>
      <c r="E88" s="45">
        <f>SUMIFS(qPL_Fact!$D:$D,qPL_Fact!$C:$C,$B88,qPL_Fact!$A:$A,E$3)</f>
        <v/>
      </c>
      <c r="F88" s="45">
        <f>SUMIFS(qPL_Fact!$D:$D,qPL_Fact!$C:$C,$B88,qPL_Fact!$A:$A,F$3)</f>
        <v/>
      </c>
      <c r="G88" s="45">
        <f>SUMIFS(qPL_Fact!$D:$D,qPL_Fact!$C:$C,$B88,qPL_Fact!$A:$A,G$3)</f>
        <v/>
      </c>
      <c r="H88" s="45">
        <f>SUMIFS(qPL_Fact!$D:$D,qPL_Fact!$C:$C,$B88,qPL_Fact!$A:$A,H$3)</f>
        <v/>
      </c>
      <c r="I88" s="45">
        <f>SUMIFS(qPL_Fact!$D:$D,qPL_Fact!$C:$C,$B88,qPL_Fact!$A:$A,I$3)</f>
        <v/>
      </c>
      <c r="J88" s="45">
        <f>SUMIFS(qPL_Fact!$D:$D,qPL_Fact!$C:$C,$B88,qPL_Fact!$A:$A,J$3)</f>
        <v/>
      </c>
      <c r="K88" s="45">
        <f>SUMIFS(qPL_Fact!$D:$D,qPL_Fact!$C:$C,$B88,qPL_Fact!$A:$A,K$3)</f>
        <v/>
      </c>
      <c r="L88" s="45">
        <f>SUMIFS(qPL_Fact!$D:$D,qPL_Fact!$C:$C,$B88,qPL_Fact!$A:$A,L$3)</f>
        <v/>
      </c>
      <c r="M88" s="45">
        <f>SUMIFS(qPL_Fact!$D:$D,qPL_Fact!$C:$C,$B88,qPL_Fact!$A:$A,M$3)</f>
        <v/>
      </c>
      <c r="N88" s="45">
        <f>SUMIFS(qPL_Fact!$D:$D,qPL_Fact!$C:$C,$B88,qPL_Fact!$A:$A,N$3)</f>
        <v/>
      </c>
      <c r="O88" s="45">
        <f>SUMIFS(qPL_Fact!$D:$D,qPL_Fact!$C:$C,$B88,qPL_Fact!$A:$A,O$3)</f>
        <v/>
      </c>
      <c r="P88" s="45">
        <f>SUMIFS(qPL_Fact!$D:$D,qPL_Fact!$C:$C,$B88,qPL_Fact!$A:$A,P$3)</f>
        <v/>
      </c>
      <c r="Q88" s="45">
        <f>SUMIFS(qPL_Fact!$D:$D,qPL_Fact!$C:$C,$B88,qPL_Fact!$A:$A,Q$3)</f>
        <v/>
      </c>
      <c r="R88" s="45">
        <f>SUMIFS(qPL_Fact!$D:$D,qPL_Fact!$C:$C,$B88,qPL_Fact!$A:$A,R$3)</f>
        <v/>
      </c>
      <c r="S88" s="45">
        <f>SUMIFS(qPL_Fact!$D:$D,qPL_Fact!$C:$C,$B88,qPL_Fact!$A:$A,S$3)</f>
        <v/>
      </c>
      <c r="T88" s="45">
        <f>SUMIFS(qPL_Fact!$D:$D,qPL_Fact!$C:$C,$B88,qPL_Fact!$A:$A,T$3)</f>
        <v/>
      </c>
    </row>
    <row r="89">
      <c r="A89" s="23" t="n"/>
      <c r="B89" s="10" t="inlineStr">
        <is>
          <t>Expense Ratio</t>
        </is>
      </c>
      <c r="C89" s="47">
        <f>T89</f>
        <v/>
      </c>
      <c r="D89" s="47">
        <f>SUMIFS(qPL_Fact!$D:$D,qPL_Fact!$C:$C,$B89,qPL_Fact!$A:$A,D$3)</f>
        <v/>
      </c>
      <c r="E89" s="47">
        <f>SUMIFS(qPL_Fact!$D:$D,qPL_Fact!$C:$C,$B89,qPL_Fact!$A:$A,E$3)</f>
        <v/>
      </c>
      <c r="F89" s="47">
        <f>SUMIFS(qPL_Fact!$D:$D,qPL_Fact!$C:$C,$B89,qPL_Fact!$A:$A,F$3)</f>
        <v/>
      </c>
      <c r="G89" s="47">
        <f>SUMIFS(qPL_Fact!$D:$D,qPL_Fact!$C:$C,$B89,qPL_Fact!$A:$A,G$3)</f>
        <v/>
      </c>
      <c r="H89" s="47">
        <f>SUMIFS(qPL_Fact!$D:$D,qPL_Fact!$C:$C,$B89,qPL_Fact!$A:$A,H$3)</f>
        <v/>
      </c>
      <c r="I89" s="47">
        <f>SUMIFS(qPL_Fact!$D:$D,qPL_Fact!$C:$C,$B89,qPL_Fact!$A:$A,I$3)</f>
        <v/>
      </c>
      <c r="J89" s="47">
        <f>SUMIFS(qPL_Fact!$D:$D,qPL_Fact!$C:$C,$B89,qPL_Fact!$A:$A,J$3)</f>
        <v/>
      </c>
      <c r="K89" s="47">
        <f>SUMIFS(qPL_Fact!$D:$D,qPL_Fact!$C:$C,$B89,qPL_Fact!$A:$A,K$3)</f>
        <v/>
      </c>
      <c r="L89" s="47">
        <f>SUMIFS(qPL_Fact!$D:$D,qPL_Fact!$C:$C,$B89,qPL_Fact!$A:$A,L$3)</f>
        <v/>
      </c>
      <c r="M89" s="47">
        <f>SUMIFS(qPL_Fact!$D:$D,qPL_Fact!$C:$C,$B89,qPL_Fact!$A:$A,M$3)</f>
        <v/>
      </c>
      <c r="N89" s="47">
        <f>SUMIFS(qPL_Fact!$D:$D,qPL_Fact!$C:$C,$B89,qPL_Fact!$A:$A,N$3)</f>
        <v/>
      </c>
      <c r="O89" s="47">
        <f>SUMIFS(qPL_Fact!$D:$D,qPL_Fact!$C:$C,$B89,qPL_Fact!$A:$A,O$3)</f>
        <v/>
      </c>
      <c r="P89" s="47">
        <f>SUMIFS(qPL_Fact!$D:$D,qPL_Fact!$C:$C,$B89,qPL_Fact!$A:$A,P$3)</f>
        <v/>
      </c>
      <c r="Q89" s="47">
        <f>SUMIFS(qPL_Fact!$D:$D,qPL_Fact!$C:$C,$B89,qPL_Fact!$A:$A,Q$3)</f>
        <v/>
      </c>
      <c r="R89" s="47">
        <f>SUMIFS(qPL_Fact!$D:$D,qPL_Fact!$C:$C,$B89,qPL_Fact!$A:$A,R$3)</f>
        <v/>
      </c>
      <c r="S89" s="47">
        <f>SUMIFS(qPL_Fact!$D:$D,qPL_Fact!$C:$C,$B89,qPL_Fact!$A:$A,S$3)</f>
        <v/>
      </c>
      <c r="T89" s="47">
        <f>SUMIFS(qPL_Fact!$D:$D,qPL_Fact!$C:$C,$B89,qPL_Fact!$A:$A,T$3)</f>
        <v/>
      </c>
    </row>
    <row r="90">
      <c r="A90" s="20" t="n"/>
      <c r="B90" s="12" t="inlineStr">
        <is>
          <t>Cash-on-Cash (CFADS)</t>
        </is>
      </c>
      <c r="C90" s="45">
        <f>T90</f>
        <v/>
      </c>
      <c r="D90" s="45">
        <f>SUMIFS(qPL_Fact!$D:$D,qPL_Fact!$C:$C,$B90,qPL_Fact!$A:$A,D$3)</f>
        <v/>
      </c>
      <c r="E90" s="45">
        <f>SUMIFS(qPL_Fact!$D:$D,qPL_Fact!$C:$C,$B90,qPL_Fact!$A:$A,E$3)</f>
        <v/>
      </c>
      <c r="F90" s="45">
        <f>SUMIFS(qPL_Fact!$D:$D,qPL_Fact!$C:$C,$B90,qPL_Fact!$A:$A,F$3)</f>
        <v/>
      </c>
      <c r="G90" s="45">
        <f>SUMIFS(qPL_Fact!$D:$D,qPL_Fact!$C:$C,$B90,qPL_Fact!$A:$A,G$3)</f>
        <v/>
      </c>
      <c r="H90" s="45">
        <f>SUMIFS(qPL_Fact!$D:$D,qPL_Fact!$C:$C,$B90,qPL_Fact!$A:$A,H$3)</f>
        <v/>
      </c>
      <c r="I90" s="45">
        <f>SUMIFS(qPL_Fact!$D:$D,qPL_Fact!$C:$C,$B90,qPL_Fact!$A:$A,I$3)</f>
        <v/>
      </c>
      <c r="J90" s="45">
        <f>SUMIFS(qPL_Fact!$D:$D,qPL_Fact!$C:$C,$B90,qPL_Fact!$A:$A,J$3)</f>
        <v/>
      </c>
      <c r="K90" s="45">
        <f>SUMIFS(qPL_Fact!$D:$D,qPL_Fact!$C:$C,$B90,qPL_Fact!$A:$A,K$3)</f>
        <v/>
      </c>
      <c r="L90" s="45">
        <f>SUMIFS(qPL_Fact!$D:$D,qPL_Fact!$C:$C,$B90,qPL_Fact!$A:$A,L$3)</f>
        <v/>
      </c>
      <c r="M90" s="45">
        <f>SUMIFS(qPL_Fact!$D:$D,qPL_Fact!$C:$C,$B90,qPL_Fact!$A:$A,M$3)</f>
        <v/>
      </c>
      <c r="N90" s="45">
        <f>SUMIFS(qPL_Fact!$D:$D,qPL_Fact!$C:$C,$B90,qPL_Fact!$A:$A,N$3)</f>
        <v/>
      </c>
      <c r="O90" s="45">
        <f>SUMIFS(qPL_Fact!$D:$D,qPL_Fact!$C:$C,$B90,qPL_Fact!$A:$A,O$3)</f>
        <v/>
      </c>
      <c r="P90" s="45">
        <f>SUMIFS(qPL_Fact!$D:$D,qPL_Fact!$C:$C,$B90,qPL_Fact!$A:$A,P$3)</f>
        <v/>
      </c>
      <c r="Q90" s="45">
        <f>SUMIFS(qPL_Fact!$D:$D,qPL_Fact!$C:$C,$B90,qPL_Fact!$A:$A,Q$3)</f>
        <v/>
      </c>
      <c r="R90" s="45">
        <f>SUMIFS(qPL_Fact!$D:$D,qPL_Fact!$C:$C,$B90,qPL_Fact!$A:$A,R$3)</f>
        <v/>
      </c>
      <c r="S90" s="45">
        <f>SUMIFS(qPL_Fact!$D:$D,qPL_Fact!$C:$C,$B90,qPL_Fact!$A:$A,S$3)</f>
        <v/>
      </c>
      <c r="T90" s="45">
        <f>SUMIFS(qPL_Fact!$D:$D,qPL_Fact!$C:$C,$B90,qPL_Fact!$A:$A,T$3)</f>
        <v/>
      </c>
    </row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Trailing 12-Month P&amp;L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8" customHeight="1">
      <c r="A2" s="4" t="inlineStr">
        <is>
          <t>Jan 2025 – Dec 2025  |  6800-6810 63rd Ave N, Brooklyn Park MN 55443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 ht="20" customHeight="1">
      <c r="A3" s="7" t="inlineStr">
        <is>
          <t>GL</t>
        </is>
      </c>
      <c r="B3" s="7" t="inlineStr">
        <is>
          <t>Account</t>
        </is>
      </c>
      <c r="C3" s="35" t="n">
        <v>45658</v>
      </c>
      <c r="D3" s="35" t="n">
        <v>45689</v>
      </c>
      <c r="E3" s="35" t="n">
        <v>45717</v>
      </c>
      <c r="F3" s="35" t="n">
        <v>45748</v>
      </c>
      <c r="G3" s="35" t="n">
        <v>45778</v>
      </c>
      <c r="H3" s="35" t="n">
        <v>45809</v>
      </c>
      <c r="I3" s="35" t="n">
        <v>45839</v>
      </c>
      <c r="J3" s="35" t="n">
        <v>45870</v>
      </c>
      <c r="K3" s="35" t="n">
        <v>45901</v>
      </c>
      <c r="L3" s="35" t="n">
        <v>45931</v>
      </c>
      <c r="M3" s="35" t="n">
        <v>45962</v>
      </c>
      <c r="N3" s="35" t="n">
        <v>45992</v>
      </c>
      <c r="O3" s="7" t="inlineStr">
        <is>
          <t>T12 Total</t>
        </is>
      </c>
    </row>
    <row r="4" ht="20" customHeight="1">
      <c r="A4" s="6" t="n"/>
      <c r="B4" s="6" t="inlineStr">
        <is>
          <t>REVENUE</t>
        </is>
      </c>
      <c r="C4" s="36">
        <f>SUMIFS(qPL_Fact!$D:$D,qPL_Fact!$C:$C,$B4,qPL_Fact!$A:$A,C$3)</f>
        <v/>
      </c>
      <c r="D4" s="36">
        <f>SUMIFS(qPL_Fact!$D:$D,qPL_Fact!$C:$C,$B4,qPL_Fact!$A:$A,D$3)</f>
        <v/>
      </c>
      <c r="E4" s="36">
        <f>SUMIFS(qPL_Fact!$D:$D,qPL_Fact!$C:$C,$B4,qPL_Fact!$A:$A,E$3)</f>
        <v/>
      </c>
      <c r="F4" s="36">
        <f>SUMIFS(qPL_Fact!$D:$D,qPL_Fact!$C:$C,$B4,qPL_Fact!$A:$A,F$3)</f>
        <v/>
      </c>
      <c r="G4" s="36">
        <f>SUMIFS(qPL_Fact!$D:$D,qPL_Fact!$C:$C,$B4,qPL_Fact!$A:$A,G$3)</f>
        <v/>
      </c>
      <c r="H4" s="36">
        <f>SUMIFS(qPL_Fact!$D:$D,qPL_Fact!$C:$C,$B4,qPL_Fact!$A:$A,H$3)</f>
        <v/>
      </c>
      <c r="I4" s="36">
        <f>SUMIFS(qPL_Fact!$D:$D,qPL_Fact!$C:$C,$B4,qPL_Fact!$A:$A,I$3)</f>
        <v/>
      </c>
      <c r="J4" s="36">
        <f>SUMIFS(qPL_Fact!$D:$D,qPL_Fact!$C:$C,$B4,qPL_Fact!$A:$A,J$3)</f>
        <v/>
      </c>
      <c r="K4" s="36">
        <f>SUMIFS(qPL_Fact!$D:$D,qPL_Fact!$C:$C,$B4,qPL_Fact!$A:$A,K$3)</f>
        <v/>
      </c>
      <c r="L4" s="36">
        <f>SUMIFS(qPL_Fact!$D:$D,qPL_Fact!$C:$C,$B4,qPL_Fact!$A:$A,L$3)</f>
        <v/>
      </c>
      <c r="M4" s="36">
        <f>SUMIFS(qPL_Fact!$D:$D,qPL_Fact!$C:$C,$B4,qPL_Fact!$A:$A,M$3)</f>
        <v/>
      </c>
      <c r="N4" s="36">
        <f>SUMIFS(qPL_Fact!$D:$D,qPL_Fact!$C:$C,$B4,qPL_Fact!$A:$A,N$3)</f>
        <v/>
      </c>
      <c r="O4" s="36">
        <f>SUM(C4:N4)</f>
        <v/>
      </c>
    </row>
    <row r="5">
      <c r="A5" s="8" t="inlineStr">
        <is>
          <t>3090</t>
        </is>
      </c>
      <c r="B5" s="10" t="inlineStr">
        <is>
          <t>Gross Potential Rent</t>
        </is>
      </c>
      <c r="C5" s="37">
        <f>SUMIFS(qPL_Fact!$D:$D,qPL_Fact!$C:$C,$B5,qPL_Fact!$A:$A,C$3)</f>
        <v/>
      </c>
      <c r="D5" s="37">
        <f>SUMIFS(qPL_Fact!$D:$D,qPL_Fact!$C:$C,$B5,qPL_Fact!$A:$A,D$3)</f>
        <v/>
      </c>
      <c r="E5" s="37">
        <f>SUMIFS(qPL_Fact!$D:$D,qPL_Fact!$C:$C,$B5,qPL_Fact!$A:$A,E$3)</f>
        <v/>
      </c>
      <c r="F5" s="37">
        <f>SUMIFS(qPL_Fact!$D:$D,qPL_Fact!$C:$C,$B5,qPL_Fact!$A:$A,F$3)</f>
        <v/>
      </c>
      <c r="G5" s="37">
        <f>SUMIFS(qPL_Fact!$D:$D,qPL_Fact!$C:$C,$B5,qPL_Fact!$A:$A,G$3)</f>
        <v/>
      </c>
      <c r="H5" s="37">
        <f>SUMIFS(qPL_Fact!$D:$D,qPL_Fact!$C:$C,$B5,qPL_Fact!$A:$A,H$3)</f>
        <v/>
      </c>
      <c r="I5" s="37">
        <f>SUMIFS(qPL_Fact!$D:$D,qPL_Fact!$C:$C,$B5,qPL_Fact!$A:$A,I$3)</f>
        <v/>
      </c>
      <c r="J5" s="37">
        <f>SUMIFS(qPL_Fact!$D:$D,qPL_Fact!$C:$C,$B5,qPL_Fact!$A:$A,J$3)</f>
        <v/>
      </c>
      <c r="K5" s="37">
        <f>SUMIFS(qPL_Fact!$D:$D,qPL_Fact!$C:$C,$B5,qPL_Fact!$A:$A,K$3)</f>
        <v/>
      </c>
      <c r="L5" s="37">
        <f>SUMIFS(qPL_Fact!$D:$D,qPL_Fact!$C:$C,$B5,qPL_Fact!$A:$A,L$3)</f>
        <v/>
      </c>
      <c r="M5" s="37">
        <f>SUMIFS(qPL_Fact!$D:$D,qPL_Fact!$C:$C,$B5,qPL_Fact!$A:$A,M$3)</f>
        <v/>
      </c>
      <c r="N5" s="37">
        <f>SUMIFS(qPL_Fact!$D:$D,qPL_Fact!$C:$C,$B5,qPL_Fact!$A:$A,N$3)</f>
        <v/>
      </c>
      <c r="O5" s="37">
        <f>SUM(C5:N5)</f>
        <v/>
      </c>
    </row>
    <row r="6">
      <c r="A6" s="11" t="inlineStr">
        <is>
          <t>4100</t>
        </is>
      </c>
      <c r="B6" s="12" t="inlineStr">
        <is>
          <t>Loss/Gain to Market</t>
        </is>
      </c>
      <c r="C6" s="38">
        <f>SUMIFS(qPL_Fact!$D:$D,qPL_Fact!$C:$C,$B6,qPL_Fact!$A:$A,C$3)</f>
        <v/>
      </c>
      <c r="D6" s="38">
        <f>SUMIFS(qPL_Fact!$D:$D,qPL_Fact!$C:$C,$B6,qPL_Fact!$A:$A,D$3)</f>
        <v/>
      </c>
      <c r="E6" s="38">
        <f>SUMIFS(qPL_Fact!$D:$D,qPL_Fact!$C:$C,$B6,qPL_Fact!$A:$A,E$3)</f>
        <v/>
      </c>
      <c r="F6" s="38">
        <f>SUMIFS(qPL_Fact!$D:$D,qPL_Fact!$C:$C,$B6,qPL_Fact!$A:$A,F$3)</f>
        <v/>
      </c>
      <c r="G6" s="38">
        <f>SUMIFS(qPL_Fact!$D:$D,qPL_Fact!$C:$C,$B6,qPL_Fact!$A:$A,G$3)</f>
        <v/>
      </c>
      <c r="H6" s="38">
        <f>SUMIFS(qPL_Fact!$D:$D,qPL_Fact!$C:$C,$B6,qPL_Fact!$A:$A,H$3)</f>
        <v/>
      </c>
      <c r="I6" s="38">
        <f>SUMIFS(qPL_Fact!$D:$D,qPL_Fact!$C:$C,$B6,qPL_Fact!$A:$A,I$3)</f>
        <v/>
      </c>
      <c r="J6" s="38">
        <f>SUMIFS(qPL_Fact!$D:$D,qPL_Fact!$C:$C,$B6,qPL_Fact!$A:$A,J$3)</f>
        <v/>
      </c>
      <c r="K6" s="38">
        <f>SUMIFS(qPL_Fact!$D:$D,qPL_Fact!$C:$C,$B6,qPL_Fact!$A:$A,K$3)</f>
        <v/>
      </c>
      <c r="L6" s="38">
        <f>SUMIFS(qPL_Fact!$D:$D,qPL_Fact!$C:$C,$B6,qPL_Fact!$A:$A,L$3)</f>
        <v/>
      </c>
      <c r="M6" s="38">
        <f>SUMIFS(qPL_Fact!$D:$D,qPL_Fact!$C:$C,$B6,qPL_Fact!$A:$A,M$3)</f>
        <v/>
      </c>
      <c r="N6" s="38">
        <f>SUMIFS(qPL_Fact!$D:$D,qPL_Fact!$C:$C,$B6,qPL_Fact!$A:$A,N$3)</f>
        <v/>
      </c>
      <c r="O6" s="38">
        <f>SUM(C6:N6)</f>
        <v/>
      </c>
    </row>
    <row r="7">
      <c r="A7" s="8" t="inlineStr">
        <is>
          <t>4100</t>
        </is>
      </c>
      <c r="B7" s="10" t="inlineStr">
        <is>
          <t>Delinquency</t>
        </is>
      </c>
      <c r="C7" s="37">
        <f>SUMIFS(qPL_Fact!$D:$D,qPL_Fact!$C:$C,$B7,qPL_Fact!$A:$A,C$3)</f>
        <v/>
      </c>
      <c r="D7" s="37">
        <f>SUMIFS(qPL_Fact!$D:$D,qPL_Fact!$C:$C,$B7,qPL_Fact!$A:$A,D$3)</f>
        <v/>
      </c>
      <c r="E7" s="37">
        <f>SUMIFS(qPL_Fact!$D:$D,qPL_Fact!$C:$C,$B7,qPL_Fact!$A:$A,E$3)</f>
        <v/>
      </c>
      <c r="F7" s="37">
        <f>SUMIFS(qPL_Fact!$D:$D,qPL_Fact!$C:$C,$B7,qPL_Fact!$A:$A,F$3)</f>
        <v/>
      </c>
      <c r="G7" s="37">
        <f>SUMIFS(qPL_Fact!$D:$D,qPL_Fact!$C:$C,$B7,qPL_Fact!$A:$A,G$3)</f>
        <v/>
      </c>
      <c r="H7" s="37">
        <f>SUMIFS(qPL_Fact!$D:$D,qPL_Fact!$C:$C,$B7,qPL_Fact!$A:$A,H$3)</f>
        <v/>
      </c>
      <c r="I7" s="37">
        <f>SUMIFS(qPL_Fact!$D:$D,qPL_Fact!$C:$C,$B7,qPL_Fact!$A:$A,I$3)</f>
        <v/>
      </c>
      <c r="J7" s="37">
        <f>SUMIFS(qPL_Fact!$D:$D,qPL_Fact!$C:$C,$B7,qPL_Fact!$A:$A,J$3)</f>
        <v/>
      </c>
      <c r="K7" s="37">
        <f>SUMIFS(qPL_Fact!$D:$D,qPL_Fact!$C:$C,$B7,qPL_Fact!$A:$A,K$3)</f>
        <v/>
      </c>
      <c r="L7" s="37">
        <f>SUMIFS(qPL_Fact!$D:$D,qPL_Fact!$C:$C,$B7,qPL_Fact!$A:$A,L$3)</f>
        <v/>
      </c>
      <c r="M7" s="37">
        <f>SUMIFS(qPL_Fact!$D:$D,qPL_Fact!$C:$C,$B7,qPL_Fact!$A:$A,M$3)</f>
        <v/>
      </c>
      <c r="N7" s="37">
        <f>SUMIFS(qPL_Fact!$D:$D,qPL_Fact!$C:$C,$B7,qPL_Fact!$A:$A,N$3)</f>
        <v/>
      </c>
      <c r="O7" s="37">
        <f>SUM(C7:N7)</f>
        <v/>
      </c>
    </row>
    <row r="8">
      <c r="A8" s="11" t="inlineStr">
        <is>
          <t>4100</t>
        </is>
      </c>
      <c r="B8" s="12" t="inlineStr">
        <is>
          <t>Vacancy</t>
        </is>
      </c>
      <c r="C8" s="38">
        <f>SUMIFS(qPL_Fact!$D:$D,qPL_Fact!$C:$C,$B8,qPL_Fact!$A:$A,C$3)</f>
        <v/>
      </c>
      <c r="D8" s="38">
        <f>SUMIFS(qPL_Fact!$D:$D,qPL_Fact!$C:$C,$B8,qPL_Fact!$A:$A,D$3)</f>
        <v/>
      </c>
      <c r="E8" s="38">
        <f>SUMIFS(qPL_Fact!$D:$D,qPL_Fact!$C:$C,$B8,qPL_Fact!$A:$A,E$3)</f>
        <v/>
      </c>
      <c r="F8" s="38">
        <f>SUMIFS(qPL_Fact!$D:$D,qPL_Fact!$C:$C,$B8,qPL_Fact!$A:$A,F$3)</f>
        <v/>
      </c>
      <c r="G8" s="38">
        <f>SUMIFS(qPL_Fact!$D:$D,qPL_Fact!$C:$C,$B8,qPL_Fact!$A:$A,G$3)</f>
        <v/>
      </c>
      <c r="H8" s="38">
        <f>SUMIFS(qPL_Fact!$D:$D,qPL_Fact!$C:$C,$B8,qPL_Fact!$A:$A,H$3)</f>
        <v/>
      </c>
      <c r="I8" s="38">
        <f>SUMIFS(qPL_Fact!$D:$D,qPL_Fact!$C:$C,$B8,qPL_Fact!$A:$A,I$3)</f>
        <v/>
      </c>
      <c r="J8" s="38">
        <f>SUMIFS(qPL_Fact!$D:$D,qPL_Fact!$C:$C,$B8,qPL_Fact!$A:$A,J$3)</f>
        <v/>
      </c>
      <c r="K8" s="38">
        <f>SUMIFS(qPL_Fact!$D:$D,qPL_Fact!$C:$C,$B8,qPL_Fact!$A:$A,K$3)</f>
        <v/>
      </c>
      <c r="L8" s="38">
        <f>SUMIFS(qPL_Fact!$D:$D,qPL_Fact!$C:$C,$B8,qPL_Fact!$A:$A,L$3)</f>
        <v/>
      </c>
      <c r="M8" s="38">
        <f>SUMIFS(qPL_Fact!$D:$D,qPL_Fact!$C:$C,$B8,qPL_Fact!$A:$A,M$3)</f>
        <v/>
      </c>
      <c r="N8" s="38">
        <f>SUMIFS(qPL_Fact!$D:$D,qPL_Fact!$C:$C,$B8,qPL_Fact!$A:$A,N$3)</f>
        <v/>
      </c>
      <c r="O8" s="38">
        <f>SUM(C8:N8)</f>
        <v/>
      </c>
    </row>
    <row r="9">
      <c r="A9" s="23" t="n"/>
      <c r="B9" s="10" t="inlineStr">
        <is>
          <t>Concessions</t>
        </is>
      </c>
      <c r="C9" s="37">
        <f>SUMIFS(qPL_Fact!$D:$D,qPL_Fact!$C:$C,$B9,qPL_Fact!$A:$A,C$3)</f>
        <v/>
      </c>
      <c r="D9" s="37">
        <f>SUMIFS(qPL_Fact!$D:$D,qPL_Fact!$C:$C,$B9,qPL_Fact!$A:$A,D$3)</f>
        <v/>
      </c>
      <c r="E9" s="37">
        <f>SUMIFS(qPL_Fact!$D:$D,qPL_Fact!$C:$C,$B9,qPL_Fact!$A:$A,E$3)</f>
        <v/>
      </c>
      <c r="F9" s="37">
        <f>SUMIFS(qPL_Fact!$D:$D,qPL_Fact!$C:$C,$B9,qPL_Fact!$A:$A,F$3)</f>
        <v/>
      </c>
      <c r="G9" s="37">
        <f>SUMIFS(qPL_Fact!$D:$D,qPL_Fact!$C:$C,$B9,qPL_Fact!$A:$A,G$3)</f>
        <v/>
      </c>
      <c r="H9" s="37">
        <f>SUMIFS(qPL_Fact!$D:$D,qPL_Fact!$C:$C,$B9,qPL_Fact!$A:$A,H$3)</f>
        <v/>
      </c>
      <c r="I9" s="37">
        <f>SUMIFS(qPL_Fact!$D:$D,qPL_Fact!$C:$C,$B9,qPL_Fact!$A:$A,I$3)</f>
        <v/>
      </c>
      <c r="J9" s="37">
        <f>SUMIFS(qPL_Fact!$D:$D,qPL_Fact!$C:$C,$B9,qPL_Fact!$A:$A,J$3)</f>
        <v/>
      </c>
      <c r="K9" s="37">
        <f>SUMIFS(qPL_Fact!$D:$D,qPL_Fact!$C:$C,$B9,qPL_Fact!$A:$A,K$3)</f>
        <v/>
      </c>
      <c r="L9" s="37">
        <f>SUMIFS(qPL_Fact!$D:$D,qPL_Fact!$C:$C,$B9,qPL_Fact!$A:$A,L$3)</f>
        <v/>
      </c>
      <c r="M9" s="37">
        <f>SUMIFS(qPL_Fact!$D:$D,qPL_Fact!$C:$C,$B9,qPL_Fact!$A:$A,M$3)</f>
        <v/>
      </c>
      <c r="N9" s="37">
        <f>SUMIFS(qPL_Fact!$D:$D,qPL_Fact!$C:$C,$B9,qPL_Fact!$A:$A,N$3)</f>
        <v/>
      </c>
      <c r="O9" s="37">
        <f>SUM(C9:N9)</f>
        <v/>
      </c>
    </row>
    <row r="10">
      <c r="A10" s="11" t="inlineStr">
        <is>
          <t>4700</t>
        </is>
      </c>
      <c r="B10" s="12" t="inlineStr">
        <is>
          <t>Other Rent Adjustments</t>
        </is>
      </c>
      <c r="C10" s="38">
        <f>SUMIFS(qPL_Fact!$D:$D,qPL_Fact!$C:$C,$B10,qPL_Fact!$A:$A,C$3)</f>
        <v/>
      </c>
      <c r="D10" s="38">
        <f>SUMIFS(qPL_Fact!$D:$D,qPL_Fact!$C:$C,$B10,qPL_Fact!$A:$A,D$3)</f>
        <v/>
      </c>
      <c r="E10" s="38">
        <f>SUMIFS(qPL_Fact!$D:$D,qPL_Fact!$C:$C,$B10,qPL_Fact!$A:$A,E$3)</f>
        <v/>
      </c>
      <c r="F10" s="38">
        <f>SUMIFS(qPL_Fact!$D:$D,qPL_Fact!$C:$C,$B10,qPL_Fact!$A:$A,F$3)</f>
        <v/>
      </c>
      <c r="G10" s="38">
        <f>SUMIFS(qPL_Fact!$D:$D,qPL_Fact!$C:$C,$B10,qPL_Fact!$A:$A,G$3)</f>
        <v/>
      </c>
      <c r="H10" s="38">
        <f>SUMIFS(qPL_Fact!$D:$D,qPL_Fact!$C:$C,$B10,qPL_Fact!$A:$A,H$3)</f>
        <v/>
      </c>
      <c r="I10" s="38">
        <f>SUMIFS(qPL_Fact!$D:$D,qPL_Fact!$C:$C,$B10,qPL_Fact!$A:$A,I$3)</f>
        <v/>
      </c>
      <c r="J10" s="38">
        <f>SUMIFS(qPL_Fact!$D:$D,qPL_Fact!$C:$C,$B10,qPL_Fact!$A:$A,J$3)</f>
        <v/>
      </c>
      <c r="K10" s="38">
        <f>SUMIFS(qPL_Fact!$D:$D,qPL_Fact!$C:$C,$B10,qPL_Fact!$A:$A,K$3)</f>
        <v/>
      </c>
      <c r="L10" s="38">
        <f>SUMIFS(qPL_Fact!$D:$D,qPL_Fact!$C:$C,$B10,qPL_Fact!$A:$A,L$3)</f>
        <v/>
      </c>
      <c r="M10" s="38">
        <f>SUMIFS(qPL_Fact!$D:$D,qPL_Fact!$C:$C,$B10,qPL_Fact!$A:$A,M$3)</f>
        <v/>
      </c>
      <c r="N10" s="38">
        <f>SUMIFS(qPL_Fact!$D:$D,qPL_Fact!$C:$C,$B10,qPL_Fact!$A:$A,N$3)</f>
        <v/>
      </c>
      <c r="O10" s="38">
        <f>SUM(C10:N10)</f>
        <v/>
      </c>
    </row>
    <row r="11">
      <c r="A11" s="39" t="n"/>
      <c r="B11" s="40" t="inlineStr">
        <is>
          <t>Effective Rental Income</t>
        </is>
      </c>
      <c r="C11" s="41">
        <f>SUMIFS(qPL_Fact!$D:$D,qPL_Fact!$C:$C,$B11,qPL_Fact!$A:$A,C$3)</f>
        <v/>
      </c>
      <c r="D11" s="41">
        <f>SUMIFS(qPL_Fact!$D:$D,qPL_Fact!$C:$C,$B11,qPL_Fact!$A:$A,D$3)</f>
        <v/>
      </c>
      <c r="E11" s="41">
        <f>SUMIFS(qPL_Fact!$D:$D,qPL_Fact!$C:$C,$B11,qPL_Fact!$A:$A,E$3)</f>
        <v/>
      </c>
      <c r="F11" s="41">
        <f>SUMIFS(qPL_Fact!$D:$D,qPL_Fact!$C:$C,$B11,qPL_Fact!$A:$A,F$3)</f>
        <v/>
      </c>
      <c r="G11" s="41">
        <f>SUMIFS(qPL_Fact!$D:$D,qPL_Fact!$C:$C,$B11,qPL_Fact!$A:$A,G$3)</f>
        <v/>
      </c>
      <c r="H11" s="41">
        <f>SUMIFS(qPL_Fact!$D:$D,qPL_Fact!$C:$C,$B11,qPL_Fact!$A:$A,H$3)</f>
        <v/>
      </c>
      <c r="I11" s="41">
        <f>SUMIFS(qPL_Fact!$D:$D,qPL_Fact!$C:$C,$B11,qPL_Fact!$A:$A,I$3)</f>
        <v/>
      </c>
      <c r="J11" s="41">
        <f>SUMIFS(qPL_Fact!$D:$D,qPL_Fact!$C:$C,$B11,qPL_Fact!$A:$A,J$3)</f>
        <v/>
      </c>
      <c r="K11" s="41">
        <f>SUMIFS(qPL_Fact!$D:$D,qPL_Fact!$C:$C,$B11,qPL_Fact!$A:$A,K$3)</f>
        <v/>
      </c>
      <c r="L11" s="41">
        <f>SUMIFS(qPL_Fact!$D:$D,qPL_Fact!$C:$C,$B11,qPL_Fact!$A:$A,L$3)</f>
        <v/>
      </c>
      <c r="M11" s="41">
        <f>SUMIFS(qPL_Fact!$D:$D,qPL_Fact!$C:$C,$B11,qPL_Fact!$A:$A,M$3)</f>
        <v/>
      </c>
      <c r="N11" s="41">
        <f>SUMIFS(qPL_Fact!$D:$D,qPL_Fact!$C:$C,$B11,qPL_Fact!$A:$A,N$3)</f>
        <v/>
      </c>
      <c r="O11" s="41">
        <f>SUM(C11:N11)</f>
        <v/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20" customHeight="1">
      <c r="A13" s="6" t="n"/>
      <c r="B13" s="6" t="inlineStr">
        <is>
          <t>OTHER INCOME</t>
        </is>
      </c>
      <c r="C13" s="36">
        <f>SUMIFS(qPL_Fact!$D:$D,qPL_Fact!$C:$C,$B13,qPL_Fact!$A:$A,C$3)</f>
        <v/>
      </c>
      <c r="D13" s="36">
        <f>SUMIFS(qPL_Fact!$D:$D,qPL_Fact!$C:$C,$B13,qPL_Fact!$A:$A,D$3)</f>
        <v/>
      </c>
      <c r="E13" s="36">
        <f>SUMIFS(qPL_Fact!$D:$D,qPL_Fact!$C:$C,$B13,qPL_Fact!$A:$A,E$3)</f>
        <v/>
      </c>
      <c r="F13" s="36">
        <f>SUMIFS(qPL_Fact!$D:$D,qPL_Fact!$C:$C,$B13,qPL_Fact!$A:$A,F$3)</f>
        <v/>
      </c>
      <c r="G13" s="36">
        <f>SUMIFS(qPL_Fact!$D:$D,qPL_Fact!$C:$C,$B13,qPL_Fact!$A:$A,G$3)</f>
        <v/>
      </c>
      <c r="H13" s="36">
        <f>SUMIFS(qPL_Fact!$D:$D,qPL_Fact!$C:$C,$B13,qPL_Fact!$A:$A,H$3)</f>
        <v/>
      </c>
      <c r="I13" s="36">
        <f>SUMIFS(qPL_Fact!$D:$D,qPL_Fact!$C:$C,$B13,qPL_Fact!$A:$A,I$3)</f>
        <v/>
      </c>
      <c r="J13" s="36">
        <f>SUMIFS(qPL_Fact!$D:$D,qPL_Fact!$C:$C,$B13,qPL_Fact!$A:$A,J$3)</f>
        <v/>
      </c>
      <c r="K13" s="36">
        <f>SUMIFS(qPL_Fact!$D:$D,qPL_Fact!$C:$C,$B13,qPL_Fact!$A:$A,K$3)</f>
        <v/>
      </c>
      <c r="L13" s="36">
        <f>SUMIFS(qPL_Fact!$D:$D,qPL_Fact!$C:$C,$B13,qPL_Fact!$A:$A,L$3)</f>
        <v/>
      </c>
      <c r="M13" s="36">
        <f>SUMIFS(qPL_Fact!$D:$D,qPL_Fact!$C:$C,$B13,qPL_Fact!$A:$A,M$3)</f>
        <v/>
      </c>
      <c r="N13" s="36">
        <f>SUMIFS(qPL_Fact!$D:$D,qPL_Fact!$C:$C,$B13,qPL_Fact!$A:$A,N$3)</f>
        <v/>
      </c>
      <c r="O13" s="36">
        <f>SUM(C13:N13)</f>
        <v/>
      </c>
    </row>
    <row r="14">
      <c r="A14" s="11" t="inlineStr">
        <is>
          <t>4460</t>
        </is>
      </c>
      <c r="B14" s="12" t="inlineStr">
        <is>
          <t>Late Fees</t>
        </is>
      </c>
      <c r="C14" s="38">
        <f>SUMIFS(qPL_Fact!$D:$D,qPL_Fact!$C:$C,$B14,qPL_Fact!$A:$A,C$3)</f>
        <v/>
      </c>
      <c r="D14" s="38">
        <f>SUMIFS(qPL_Fact!$D:$D,qPL_Fact!$C:$C,$B14,qPL_Fact!$A:$A,D$3)</f>
        <v/>
      </c>
      <c r="E14" s="38">
        <f>SUMIFS(qPL_Fact!$D:$D,qPL_Fact!$C:$C,$B14,qPL_Fact!$A:$A,E$3)</f>
        <v/>
      </c>
      <c r="F14" s="38">
        <f>SUMIFS(qPL_Fact!$D:$D,qPL_Fact!$C:$C,$B14,qPL_Fact!$A:$A,F$3)</f>
        <v/>
      </c>
      <c r="G14" s="38">
        <f>SUMIFS(qPL_Fact!$D:$D,qPL_Fact!$C:$C,$B14,qPL_Fact!$A:$A,G$3)</f>
        <v/>
      </c>
      <c r="H14" s="38">
        <f>SUMIFS(qPL_Fact!$D:$D,qPL_Fact!$C:$C,$B14,qPL_Fact!$A:$A,H$3)</f>
        <v/>
      </c>
      <c r="I14" s="38">
        <f>SUMIFS(qPL_Fact!$D:$D,qPL_Fact!$C:$C,$B14,qPL_Fact!$A:$A,I$3)</f>
        <v/>
      </c>
      <c r="J14" s="38">
        <f>SUMIFS(qPL_Fact!$D:$D,qPL_Fact!$C:$C,$B14,qPL_Fact!$A:$A,J$3)</f>
        <v/>
      </c>
      <c r="K14" s="38">
        <f>SUMIFS(qPL_Fact!$D:$D,qPL_Fact!$C:$C,$B14,qPL_Fact!$A:$A,K$3)</f>
        <v/>
      </c>
      <c r="L14" s="38">
        <f>SUMIFS(qPL_Fact!$D:$D,qPL_Fact!$C:$C,$B14,qPL_Fact!$A:$A,L$3)</f>
        <v/>
      </c>
      <c r="M14" s="38">
        <f>SUMIFS(qPL_Fact!$D:$D,qPL_Fact!$C:$C,$B14,qPL_Fact!$A:$A,M$3)</f>
        <v/>
      </c>
      <c r="N14" s="38">
        <f>SUMIFS(qPL_Fact!$D:$D,qPL_Fact!$C:$C,$B14,qPL_Fact!$A:$A,N$3)</f>
        <v/>
      </c>
      <c r="O14" s="38">
        <f>SUM(C14:N14)</f>
        <v/>
      </c>
    </row>
    <row r="15">
      <c r="A15" s="8" t="inlineStr">
        <is>
          <t>4490</t>
        </is>
      </c>
      <c r="B15" s="10" t="inlineStr">
        <is>
          <t>Move-In Fees</t>
        </is>
      </c>
      <c r="C15" s="37">
        <f>SUMIFS(qPL_Fact!$D:$D,qPL_Fact!$C:$C,$B15,qPL_Fact!$A:$A,C$3)</f>
        <v/>
      </c>
      <c r="D15" s="37">
        <f>SUMIFS(qPL_Fact!$D:$D,qPL_Fact!$C:$C,$B15,qPL_Fact!$A:$A,D$3)</f>
        <v/>
      </c>
      <c r="E15" s="37">
        <f>SUMIFS(qPL_Fact!$D:$D,qPL_Fact!$C:$C,$B15,qPL_Fact!$A:$A,E$3)</f>
        <v/>
      </c>
      <c r="F15" s="37">
        <f>SUMIFS(qPL_Fact!$D:$D,qPL_Fact!$C:$C,$B15,qPL_Fact!$A:$A,F$3)</f>
        <v/>
      </c>
      <c r="G15" s="37">
        <f>SUMIFS(qPL_Fact!$D:$D,qPL_Fact!$C:$C,$B15,qPL_Fact!$A:$A,G$3)</f>
        <v/>
      </c>
      <c r="H15" s="37">
        <f>SUMIFS(qPL_Fact!$D:$D,qPL_Fact!$C:$C,$B15,qPL_Fact!$A:$A,H$3)</f>
        <v/>
      </c>
      <c r="I15" s="37">
        <f>SUMIFS(qPL_Fact!$D:$D,qPL_Fact!$C:$C,$B15,qPL_Fact!$A:$A,I$3)</f>
        <v/>
      </c>
      <c r="J15" s="37">
        <f>SUMIFS(qPL_Fact!$D:$D,qPL_Fact!$C:$C,$B15,qPL_Fact!$A:$A,J$3)</f>
        <v/>
      </c>
      <c r="K15" s="37">
        <f>SUMIFS(qPL_Fact!$D:$D,qPL_Fact!$C:$C,$B15,qPL_Fact!$A:$A,K$3)</f>
        <v/>
      </c>
      <c r="L15" s="37">
        <f>SUMIFS(qPL_Fact!$D:$D,qPL_Fact!$C:$C,$B15,qPL_Fact!$A:$A,L$3)</f>
        <v/>
      </c>
      <c r="M15" s="37">
        <f>SUMIFS(qPL_Fact!$D:$D,qPL_Fact!$C:$C,$B15,qPL_Fact!$A:$A,M$3)</f>
        <v/>
      </c>
      <c r="N15" s="37">
        <f>SUMIFS(qPL_Fact!$D:$D,qPL_Fact!$C:$C,$B15,qPL_Fact!$A:$A,N$3)</f>
        <v/>
      </c>
      <c r="O15" s="37">
        <f>SUM(C15:N15)</f>
        <v/>
      </c>
    </row>
    <row r="16">
      <c r="A16" s="11" t="inlineStr">
        <is>
          <t>4440</t>
        </is>
      </c>
      <c r="B16" s="12" t="inlineStr">
        <is>
          <t>Application Fees</t>
        </is>
      </c>
      <c r="C16" s="38">
        <f>SUMIFS(qPL_Fact!$D:$D,qPL_Fact!$C:$C,$B16,qPL_Fact!$A:$A,C$3)</f>
        <v/>
      </c>
      <c r="D16" s="38">
        <f>SUMIFS(qPL_Fact!$D:$D,qPL_Fact!$C:$C,$B16,qPL_Fact!$A:$A,D$3)</f>
        <v/>
      </c>
      <c r="E16" s="38">
        <f>SUMIFS(qPL_Fact!$D:$D,qPL_Fact!$C:$C,$B16,qPL_Fact!$A:$A,E$3)</f>
        <v/>
      </c>
      <c r="F16" s="38">
        <f>SUMIFS(qPL_Fact!$D:$D,qPL_Fact!$C:$C,$B16,qPL_Fact!$A:$A,F$3)</f>
        <v/>
      </c>
      <c r="G16" s="38">
        <f>SUMIFS(qPL_Fact!$D:$D,qPL_Fact!$C:$C,$B16,qPL_Fact!$A:$A,G$3)</f>
        <v/>
      </c>
      <c r="H16" s="38">
        <f>SUMIFS(qPL_Fact!$D:$D,qPL_Fact!$C:$C,$B16,qPL_Fact!$A:$A,H$3)</f>
        <v/>
      </c>
      <c r="I16" s="38">
        <f>SUMIFS(qPL_Fact!$D:$D,qPL_Fact!$C:$C,$B16,qPL_Fact!$A:$A,I$3)</f>
        <v/>
      </c>
      <c r="J16" s="38">
        <f>SUMIFS(qPL_Fact!$D:$D,qPL_Fact!$C:$C,$B16,qPL_Fact!$A:$A,J$3)</f>
        <v/>
      </c>
      <c r="K16" s="38">
        <f>SUMIFS(qPL_Fact!$D:$D,qPL_Fact!$C:$C,$B16,qPL_Fact!$A:$A,K$3)</f>
        <v/>
      </c>
      <c r="L16" s="38">
        <f>SUMIFS(qPL_Fact!$D:$D,qPL_Fact!$C:$C,$B16,qPL_Fact!$A:$A,L$3)</f>
        <v/>
      </c>
      <c r="M16" s="38">
        <f>SUMIFS(qPL_Fact!$D:$D,qPL_Fact!$C:$C,$B16,qPL_Fact!$A:$A,M$3)</f>
        <v/>
      </c>
      <c r="N16" s="38">
        <f>SUMIFS(qPL_Fact!$D:$D,qPL_Fact!$C:$C,$B16,qPL_Fact!$A:$A,N$3)</f>
        <v/>
      </c>
      <c r="O16" s="38">
        <f>SUM(C16:N16)</f>
        <v/>
      </c>
    </row>
    <row r="17">
      <c r="A17" s="8" t="inlineStr">
        <is>
          <t>4415</t>
        </is>
      </c>
      <c r="B17" s="10" t="inlineStr">
        <is>
          <t>Internet Charges</t>
        </is>
      </c>
      <c r="C17" s="37">
        <f>SUMIFS(qPL_Fact!$D:$D,qPL_Fact!$C:$C,$B17,qPL_Fact!$A:$A,C$3)</f>
        <v/>
      </c>
      <c r="D17" s="37">
        <f>SUMIFS(qPL_Fact!$D:$D,qPL_Fact!$C:$C,$B17,qPL_Fact!$A:$A,D$3)</f>
        <v/>
      </c>
      <c r="E17" s="37">
        <f>SUMIFS(qPL_Fact!$D:$D,qPL_Fact!$C:$C,$B17,qPL_Fact!$A:$A,E$3)</f>
        <v/>
      </c>
      <c r="F17" s="37">
        <f>SUMIFS(qPL_Fact!$D:$D,qPL_Fact!$C:$C,$B17,qPL_Fact!$A:$A,F$3)</f>
        <v/>
      </c>
      <c r="G17" s="37">
        <f>SUMIFS(qPL_Fact!$D:$D,qPL_Fact!$C:$C,$B17,qPL_Fact!$A:$A,G$3)</f>
        <v/>
      </c>
      <c r="H17" s="37">
        <f>SUMIFS(qPL_Fact!$D:$D,qPL_Fact!$C:$C,$B17,qPL_Fact!$A:$A,H$3)</f>
        <v/>
      </c>
      <c r="I17" s="37">
        <f>SUMIFS(qPL_Fact!$D:$D,qPL_Fact!$C:$C,$B17,qPL_Fact!$A:$A,I$3)</f>
        <v/>
      </c>
      <c r="J17" s="37">
        <f>SUMIFS(qPL_Fact!$D:$D,qPL_Fact!$C:$C,$B17,qPL_Fact!$A:$A,J$3)</f>
        <v/>
      </c>
      <c r="K17" s="37">
        <f>SUMIFS(qPL_Fact!$D:$D,qPL_Fact!$C:$C,$B17,qPL_Fact!$A:$A,K$3)</f>
        <v/>
      </c>
      <c r="L17" s="37">
        <f>SUMIFS(qPL_Fact!$D:$D,qPL_Fact!$C:$C,$B17,qPL_Fact!$A:$A,L$3)</f>
        <v/>
      </c>
      <c r="M17" s="37">
        <f>SUMIFS(qPL_Fact!$D:$D,qPL_Fact!$C:$C,$B17,qPL_Fact!$A:$A,M$3)</f>
        <v/>
      </c>
      <c r="N17" s="37">
        <f>SUMIFS(qPL_Fact!$D:$D,qPL_Fact!$C:$C,$B17,qPL_Fact!$A:$A,N$3)</f>
        <v/>
      </c>
      <c r="O17" s="37">
        <f>SUM(C17:N17)</f>
        <v/>
      </c>
    </row>
    <row r="18">
      <c r="A18" s="11" t="inlineStr">
        <is>
          <t>4450</t>
        </is>
      </c>
      <c r="B18" s="12" t="inlineStr">
        <is>
          <t>Insurance Services</t>
        </is>
      </c>
      <c r="C18" s="38">
        <f>SUMIFS(qPL_Fact!$D:$D,qPL_Fact!$C:$C,$B18,qPL_Fact!$A:$A,C$3)</f>
        <v/>
      </c>
      <c r="D18" s="38">
        <f>SUMIFS(qPL_Fact!$D:$D,qPL_Fact!$C:$C,$B18,qPL_Fact!$A:$A,D$3)</f>
        <v/>
      </c>
      <c r="E18" s="38">
        <f>SUMIFS(qPL_Fact!$D:$D,qPL_Fact!$C:$C,$B18,qPL_Fact!$A:$A,E$3)</f>
        <v/>
      </c>
      <c r="F18" s="38">
        <f>SUMIFS(qPL_Fact!$D:$D,qPL_Fact!$C:$C,$B18,qPL_Fact!$A:$A,F$3)</f>
        <v/>
      </c>
      <c r="G18" s="38">
        <f>SUMIFS(qPL_Fact!$D:$D,qPL_Fact!$C:$C,$B18,qPL_Fact!$A:$A,G$3)</f>
        <v/>
      </c>
      <c r="H18" s="38">
        <f>SUMIFS(qPL_Fact!$D:$D,qPL_Fact!$C:$C,$B18,qPL_Fact!$A:$A,H$3)</f>
        <v/>
      </c>
      <c r="I18" s="38">
        <f>SUMIFS(qPL_Fact!$D:$D,qPL_Fact!$C:$C,$B18,qPL_Fact!$A:$A,I$3)</f>
        <v/>
      </c>
      <c r="J18" s="38">
        <f>SUMIFS(qPL_Fact!$D:$D,qPL_Fact!$C:$C,$B18,qPL_Fact!$A:$A,J$3)</f>
        <v/>
      </c>
      <c r="K18" s="38">
        <f>SUMIFS(qPL_Fact!$D:$D,qPL_Fact!$C:$C,$B18,qPL_Fact!$A:$A,K$3)</f>
        <v/>
      </c>
      <c r="L18" s="38">
        <f>SUMIFS(qPL_Fact!$D:$D,qPL_Fact!$C:$C,$B18,qPL_Fact!$A:$A,L$3)</f>
        <v/>
      </c>
      <c r="M18" s="38">
        <f>SUMIFS(qPL_Fact!$D:$D,qPL_Fact!$C:$C,$B18,qPL_Fact!$A:$A,M$3)</f>
        <v/>
      </c>
      <c r="N18" s="38">
        <f>SUMIFS(qPL_Fact!$D:$D,qPL_Fact!$C:$C,$B18,qPL_Fact!$A:$A,N$3)</f>
        <v/>
      </c>
      <c r="O18" s="38">
        <f>SUM(C18:N18)</f>
        <v/>
      </c>
    </row>
    <row r="19">
      <c r="A19" s="23" t="n"/>
      <c r="B19" s="10" t="inlineStr">
        <is>
          <t>Interest Income</t>
        </is>
      </c>
      <c r="C19" s="37">
        <f>SUMIFS(qPL_Fact!$D:$D,qPL_Fact!$C:$C,$B19,qPL_Fact!$A:$A,C$3)</f>
        <v/>
      </c>
      <c r="D19" s="37">
        <f>SUMIFS(qPL_Fact!$D:$D,qPL_Fact!$C:$C,$B19,qPL_Fact!$A:$A,D$3)</f>
        <v/>
      </c>
      <c r="E19" s="37">
        <f>SUMIFS(qPL_Fact!$D:$D,qPL_Fact!$C:$C,$B19,qPL_Fact!$A:$A,E$3)</f>
        <v/>
      </c>
      <c r="F19" s="37">
        <f>SUMIFS(qPL_Fact!$D:$D,qPL_Fact!$C:$C,$B19,qPL_Fact!$A:$A,F$3)</f>
        <v/>
      </c>
      <c r="G19" s="37">
        <f>SUMIFS(qPL_Fact!$D:$D,qPL_Fact!$C:$C,$B19,qPL_Fact!$A:$A,G$3)</f>
        <v/>
      </c>
      <c r="H19" s="37">
        <f>SUMIFS(qPL_Fact!$D:$D,qPL_Fact!$C:$C,$B19,qPL_Fact!$A:$A,H$3)</f>
        <v/>
      </c>
      <c r="I19" s="37">
        <f>SUMIFS(qPL_Fact!$D:$D,qPL_Fact!$C:$C,$B19,qPL_Fact!$A:$A,I$3)</f>
        <v/>
      </c>
      <c r="J19" s="37">
        <f>SUMIFS(qPL_Fact!$D:$D,qPL_Fact!$C:$C,$B19,qPL_Fact!$A:$A,J$3)</f>
        <v/>
      </c>
      <c r="K19" s="37">
        <f>SUMIFS(qPL_Fact!$D:$D,qPL_Fact!$C:$C,$B19,qPL_Fact!$A:$A,K$3)</f>
        <v/>
      </c>
      <c r="L19" s="37">
        <f>SUMIFS(qPL_Fact!$D:$D,qPL_Fact!$C:$C,$B19,qPL_Fact!$A:$A,L$3)</f>
        <v/>
      </c>
      <c r="M19" s="37">
        <f>SUMIFS(qPL_Fact!$D:$D,qPL_Fact!$C:$C,$B19,qPL_Fact!$A:$A,M$3)</f>
        <v/>
      </c>
      <c r="N19" s="37">
        <f>SUMIFS(qPL_Fact!$D:$D,qPL_Fact!$C:$C,$B19,qPL_Fact!$A:$A,N$3)</f>
        <v/>
      </c>
      <c r="O19" s="37">
        <f>SUM(C19:N19)</f>
        <v/>
      </c>
    </row>
    <row r="20">
      <c r="A20" s="11" t="inlineStr">
        <is>
          <t>4730</t>
        </is>
      </c>
      <c r="B20" s="12" t="inlineStr">
        <is>
          <t>Utility Reimbursement</t>
        </is>
      </c>
      <c r="C20" s="38">
        <f>SUMIFS(qPL_Fact!$D:$D,qPL_Fact!$C:$C,$B20,qPL_Fact!$A:$A,C$3)</f>
        <v/>
      </c>
      <c r="D20" s="38">
        <f>SUMIFS(qPL_Fact!$D:$D,qPL_Fact!$C:$C,$B20,qPL_Fact!$A:$A,D$3)</f>
        <v/>
      </c>
      <c r="E20" s="38">
        <f>SUMIFS(qPL_Fact!$D:$D,qPL_Fact!$C:$C,$B20,qPL_Fact!$A:$A,E$3)</f>
        <v/>
      </c>
      <c r="F20" s="38">
        <f>SUMIFS(qPL_Fact!$D:$D,qPL_Fact!$C:$C,$B20,qPL_Fact!$A:$A,F$3)</f>
        <v/>
      </c>
      <c r="G20" s="38">
        <f>SUMIFS(qPL_Fact!$D:$D,qPL_Fact!$C:$C,$B20,qPL_Fact!$A:$A,G$3)</f>
        <v/>
      </c>
      <c r="H20" s="38">
        <f>SUMIFS(qPL_Fact!$D:$D,qPL_Fact!$C:$C,$B20,qPL_Fact!$A:$A,H$3)</f>
        <v/>
      </c>
      <c r="I20" s="38">
        <f>SUMIFS(qPL_Fact!$D:$D,qPL_Fact!$C:$C,$B20,qPL_Fact!$A:$A,I$3)</f>
        <v/>
      </c>
      <c r="J20" s="38">
        <f>SUMIFS(qPL_Fact!$D:$D,qPL_Fact!$C:$C,$B20,qPL_Fact!$A:$A,J$3)</f>
        <v/>
      </c>
      <c r="K20" s="38">
        <f>SUMIFS(qPL_Fact!$D:$D,qPL_Fact!$C:$C,$B20,qPL_Fact!$A:$A,K$3)</f>
        <v/>
      </c>
      <c r="L20" s="38">
        <f>SUMIFS(qPL_Fact!$D:$D,qPL_Fact!$C:$C,$B20,qPL_Fact!$A:$A,L$3)</f>
        <v/>
      </c>
      <c r="M20" s="38">
        <f>SUMIFS(qPL_Fact!$D:$D,qPL_Fact!$C:$C,$B20,qPL_Fact!$A:$A,M$3)</f>
        <v/>
      </c>
      <c r="N20" s="38">
        <f>SUMIFS(qPL_Fact!$D:$D,qPL_Fact!$C:$C,$B20,qPL_Fact!$A:$A,N$3)</f>
        <v/>
      </c>
      <c r="O20" s="38">
        <f>SUM(C20:N20)</f>
        <v/>
      </c>
    </row>
    <row r="21">
      <c r="A21" s="23" t="n"/>
      <c r="B21" s="10" t="inlineStr">
        <is>
          <t>Deposit Forfeit</t>
        </is>
      </c>
      <c r="C21" s="37">
        <f>SUMIFS(qPL_Fact!$D:$D,qPL_Fact!$C:$C,$B21,qPL_Fact!$A:$A,C$3)</f>
        <v/>
      </c>
      <c r="D21" s="37">
        <f>SUMIFS(qPL_Fact!$D:$D,qPL_Fact!$C:$C,$B21,qPL_Fact!$A:$A,D$3)</f>
        <v/>
      </c>
      <c r="E21" s="37">
        <f>SUMIFS(qPL_Fact!$D:$D,qPL_Fact!$C:$C,$B21,qPL_Fact!$A:$A,E$3)</f>
        <v/>
      </c>
      <c r="F21" s="37">
        <f>SUMIFS(qPL_Fact!$D:$D,qPL_Fact!$C:$C,$B21,qPL_Fact!$A:$A,F$3)</f>
        <v/>
      </c>
      <c r="G21" s="37">
        <f>SUMIFS(qPL_Fact!$D:$D,qPL_Fact!$C:$C,$B21,qPL_Fact!$A:$A,G$3)</f>
        <v/>
      </c>
      <c r="H21" s="37">
        <f>SUMIFS(qPL_Fact!$D:$D,qPL_Fact!$C:$C,$B21,qPL_Fact!$A:$A,H$3)</f>
        <v/>
      </c>
      <c r="I21" s="37">
        <f>SUMIFS(qPL_Fact!$D:$D,qPL_Fact!$C:$C,$B21,qPL_Fact!$A:$A,I$3)</f>
        <v/>
      </c>
      <c r="J21" s="37">
        <f>SUMIFS(qPL_Fact!$D:$D,qPL_Fact!$C:$C,$B21,qPL_Fact!$A:$A,J$3)</f>
        <v/>
      </c>
      <c r="K21" s="37">
        <f>SUMIFS(qPL_Fact!$D:$D,qPL_Fact!$C:$C,$B21,qPL_Fact!$A:$A,K$3)</f>
        <v/>
      </c>
      <c r="L21" s="37">
        <f>SUMIFS(qPL_Fact!$D:$D,qPL_Fact!$C:$C,$B21,qPL_Fact!$A:$A,L$3)</f>
        <v/>
      </c>
      <c r="M21" s="37">
        <f>SUMIFS(qPL_Fact!$D:$D,qPL_Fact!$C:$C,$B21,qPL_Fact!$A:$A,M$3)</f>
        <v/>
      </c>
      <c r="N21" s="37">
        <f>SUMIFS(qPL_Fact!$D:$D,qPL_Fact!$C:$C,$B21,qPL_Fact!$A:$A,N$3)</f>
        <v/>
      </c>
      <c r="O21" s="37">
        <f>SUM(C21:N21)</f>
        <v/>
      </c>
    </row>
    <row r="22">
      <c r="A22" s="11" t="inlineStr">
        <is>
          <t>4410</t>
        </is>
      </c>
      <c r="B22" s="12" t="inlineStr">
        <is>
          <t>NSF Fees</t>
        </is>
      </c>
      <c r="C22" s="38">
        <f>SUMIFS(qPL_Fact!$D:$D,qPL_Fact!$C:$C,$B22,qPL_Fact!$A:$A,C$3)</f>
        <v/>
      </c>
      <c r="D22" s="38">
        <f>SUMIFS(qPL_Fact!$D:$D,qPL_Fact!$C:$C,$B22,qPL_Fact!$A:$A,D$3)</f>
        <v/>
      </c>
      <c r="E22" s="38">
        <f>SUMIFS(qPL_Fact!$D:$D,qPL_Fact!$C:$C,$B22,qPL_Fact!$A:$A,E$3)</f>
        <v/>
      </c>
      <c r="F22" s="38">
        <f>SUMIFS(qPL_Fact!$D:$D,qPL_Fact!$C:$C,$B22,qPL_Fact!$A:$A,F$3)</f>
        <v/>
      </c>
      <c r="G22" s="38">
        <f>SUMIFS(qPL_Fact!$D:$D,qPL_Fact!$C:$C,$B22,qPL_Fact!$A:$A,G$3)</f>
        <v/>
      </c>
      <c r="H22" s="38">
        <f>SUMIFS(qPL_Fact!$D:$D,qPL_Fact!$C:$C,$B22,qPL_Fact!$A:$A,H$3)</f>
        <v/>
      </c>
      <c r="I22" s="38">
        <f>SUMIFS(qPL_Fact!$D:$D,qPL_Fact!$C:$C,$B22,qPL_Fact!$A:$A,I$3)</f>
        <v/>
      </c>
      <c r="J22" s="38">
        <f>SUMIFS(qPL_Fact!$D:$D,qPL_Fact!$C:$C,$B22,qPL_Fact!$A:$A,J$3)</f>
        <v/>
      </c>
      <c r="K22" s="38">
        <f>SUMIFS(qPL_Fact!$D:$D,qPL_Fact!$C:$C,$B22,qPL_Fact!$A:$A,K$3)</f>
        <v/>
      </c>
      <c r="L22" s="38">
        <f>SUMIFS(qPL_Fact!$D:$D,qPL_Fact!$C:$C,$B22,qPL_Fact!$A:$A,L$3)</f>
        <v/>
      </c>
      <c r="M22" s="38">
        <f>SUMIFS(qPL_Fact!$D:$D,qPL_Fact!$C:$C,$B22,qPL_Fact!$A:$A,M$3)</f>
        <v/>
      </c>
      <c r="N22" s="38">
        <f>SUMIFS(qPL_Fact!$D:$D,qPL_Fact!$C:$C,$B22,qPL_Fact!$A:$A,N$3)</f>
        <v/>
      </c>
      <c r="O22" s="38">
        <f>SUM(C22:N22)</f>
        <v/>
      </c>
    </row>
    <row r="23">
      <c r="A23" s="39" t="n"/>
      <c r="B23" s="40" t="inlineStr">
        <is>
          <t>Total Other Income</t>
        </is>
      </c>
      <c r="C23" s="41">
        <f>SUMIFS(qPL_Fact!$D:$D,qPL_Fact!$C:$C,$B23,qPL_Fact!$A:$A,C$3)</f>
        <v/>
      </c>
      <c r="D23" s="41">
        <f>SUMIFS(qPL_Fact!$D:$D,qPL_Fact!$C:$C,$B23,qPL_Fact!$A:$A,D$3)</f>
        <v/>
      </c>
      <c r="E23" s="41">
        <f>SUMIFS(qPL_Fact!$D:$D,qPL_Fact!$C:$C,$B23,qPL_Fact!$A:$A,E$3)</f>
        <v/>
      </c>
      <c r="F23" s="41">
        <f>SUMIFS(qPL_Fact!$D:$D,qPL_Fact!$C:$C,$B23,qPL_Fact!$A:$A,F$3)</f>
        <v/>
      </c>
      <c r="G23" s="41">
        <f>SUMIFS(qPL_Fact!$D:$D,qPL_Fact!$C:$C,$B23,qPL_Fact!$A:$A,G$3)</f>
        <v/>
      </c>
      <c r="H23" s="41">
        <f>SUMIFS(qPL_Fact!$D:$D,qPL_Fact!$C:$C,$B23,qPL_Fact!$A:$A,H$3)</f>
        <v/>
      </c>
      <c r="I23" s="41">
        <f>SUMIFS(qPL_Fact!$D:$D,qPL_Fact!$C:$C,$B23,qPL_Fact!$A:$A,I$3)</f>
        <v/>
      </c>
      <c r="J23" s="41">
        <f>SUMIFS(qPL_Fact!$D:$D,qPL_Fact!$C:$C,$B23,qPL_Fact!$A:$A,J$3)</f>
        <v/>
      </c>
      <c r="K23" s="41">
        <f>SUMIFS(qPL_Fact!$D:$D,qPL_Fact!$C:$C,$B23,qPL_Fact!$A:$A,K$3)</f>
        <v/>
      </c>
      <c r="L23" s="41">
        <f>SUMIFS(qPL_Fact!$D:$D,qPL_Fact!$C:$C,$B23,qPL_Fact!$A:$A,L$3)</f>
        <v/>
      </c>
      <c r="M23" s="41">
        <f>SUMIFS(qPL_Fact!$D:$D,qPL_Fact!$C:$C,$B23,qPL_Fact!$A:$A,M$3)</f>
        <v/>
      </c>
      <c r="N23" s="41">
        <f>SUMIFS(qPL_Fact!$D:$D,qPL_Fact!$C:$C,$B23,qPL_Fact!$A:$A,N$3)</f>
        <v/>
      </c>
      <c r="O23" s="41">
        <f>SUM(C23:N23)</f>
        <v/>
      </c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A25" s="39" t="n"/>
      <c r="B25" s="40" t="inlineStr">
        <is>
          <t>EFFECTIVE GROSS INCOME (EGI)</t>
        </is>
      </c>
      <c r="C25" s="41">
        <f>SUMIFS(qPL_Fact!$D:$D,qPL_Fact!$C:$C,$B25,qPL_Fact!$A:$A,C$3)</f>
        <v/>
      </c>
      <c r="D25" s="41">
        <f>SUMIFS(qPL_Fact!$D:$D,qPL_Fact!$C:$C,$B25,qPL_Fact!$A:$A,D$3)</f>
        <v/>
      </c>
      <c r="E25" s="41">
        <f>SUMIFS(qPL_Fact!$D:$D,qPL_Fact!$C:$C,$B25,qPL_Fact!$A:$A,E$3)</f>
        <v/>
      </c>
      <c r="F25" s="41">
        <f>SUMIFS(qPL_Fact!$D:$D,qPL_Fact!$C:$C,$B25,qPL_Fact!$A:$A,F$3)</f>
        <v/>
      </c>
      <c r="G25" s="41">
        <f>SUMIFS(qPL_Fact!$D:$D,qPL_Fact!$C:$C,$B25,qPL_Fact!$A:$A,G$3)</f>
        <v/>
      </c>
      <c r="H25" s="41">
        <f>SUMIFS(qPL_Fact!$D:$D,qPL_Fact!$C:$C,$B25,qPL_Fact!$A:$A,H$3)</f>
        <v/>
      </c>
      <c r="I25" s="41">
        <f>SUMIFS(qPL_Fact!$D:$D,qPL_Fact!$C:$C,$B25,qPL_Fact!$A:$A,I$3)</f>
        <v/>
      </c>
      <c r="J25" s="41">
        <f>SUMIFS(qPL_Fact!$D:$D,qPL_Fact!$C:$C,$B25,qPL_Fact!$A:$A,J$3)</f>
        <v/>
      </c>
      <c r="K25" s="41">
        <f>SUMIFS(qPL_Fact!$D:$D,qPL_Fact!$C:$C,$B25,qPL_Fact!$A:$A,K$3)</f>
        <v/>
      </c>
      <c r="L25" s="41">
        <f>SUMIFS(qPL_Fact!$D:$D,qPL_Fact!$C:$C,$B25,qPL_Fact!$A:$A,L$3)</f>
        <v/>
      </c>
      <c r="M25" s="41">
        <f>SUMIFS(qPL_Fact!$D:$D,qPL_Fact!$C:$C,$B25,qPL_Fact!$A:$A,M$3)</f>
        <v/>
      </c>
      <c r="N25" s="41">
        <f>SUMIFS(qPL_Fact!$D:$D,qPL_Fact!$C:$C,$B25,qPL_Fact!$A:$A,N$3)</f>
        <v/>
      </c>
      <c r="O25" s="41">
        <f>SUM(C25:N25)</f>
        <v/>
      </c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 ht="20" customHeight="1">
      <c r="A27" s="6" t="n"/>
      <c r="B27" s="6" t="inlineStr">
        <is>
          <t>OPERATING EXPENSES</t>
        </is>
      </c>
      <c r="C27" s="36">
        <f>SUMIFS(qPL_Fact!$D:$D,qPL_Fact!$C:$C,$B27,qPL_Fact!$A:$A,C$3)</f>
        <v/>
      </c>
      <c r="D27" s="36">
        <f>SUMIFS(qPL_Fact!$D:$D,qPL_Fact!$C:$C,$B27,qPL_Fact!$A:$A,D$3)</f>
        <v/>
      </c>
      <c r="E27" s="36">
        <f>SUMIFS(qPL_Fact!$D:$D,qPL_Fact!$C:$C,$B27,qPL_Fact!$A:$A,E$3)</f>
        <v/>
      </c>
      <c r="F27" s="36">
        <f>SUMIFS(qPL_Fact!$D:$D,qPL_Fact!$C:$C,$B27,qPL_Fact!$A:$A,F$3)</f>
        <v/>
      </c>
      <c r="G27" s="36">
        <f>SUMIFS(qPL_Fact!$D:$D,qPL_Fact!$C:$C,$B27,qPL_Fact!$A:$A,G$3)</f>
        <v/>
      </c>
      <c r="H27" s="36">
        <f>SUMIFS(qPL_Fact!$D:$D,qPL_Fact!$C:$C,$B27,qPL_Fact!$A:$A,H$3)</f>
        <v/>
      </c>
      <c r="I27" s="36">
        <f>SUMIFS(qPL_Fact!$D:$D,qPL_Fact!$C:$C,$B27,qPL_Fact!$A:$A,I$3)</f>
        <v/>
      </c>
      <c r="J27" s="36">
        <f>SUMIFS(qPL_Fact!$D:$D,qPL_Fact!$C:$C,$B27,qPL_Fact!$A:$A,J$3)</f>
        <v/>
      </c>
      <c r="K27" s="36">
        <f>SUMIFS(qPL_Fact!$D:$D,qPL_Fact!$C:$C,$B27,qPL_Fact!$A:$A,K$3)</f>
        <v/>
      </c>
      <c r="L27" s="36">
        <f>SUMIFS(qPL_Fact!$D:$D,qPL_Fact!$C:$C,$B27,qPL_Fact!$A:$A,L$3)</f>
        <v/>
      </c>
      <c r="M27" s="36">
        <f>SUMIFS(qPL_Fact!$D:$D,qPL_Fact!$C:$C,$B27,qPL_Fact!$A:$A,M$3)</f>
        <v/>
      </c>
      <c r="N27" s="36">
        <f>SUMIFS(qPL_Fact!$D:$D,qPL_Fact!$C:$C,$B27,qPL_Fact!$A:$A,N$3)</f>
        <v/>
      </c>
      <c r="O27" s="36">
        <f>SUM(C27:N27)</f>
        <v/>
      </c>
    </row>
    <row r="28">
      <c r="A28" s="11" t="inlineStr">
        <is>
          <t>6161</t>
        </is>
      </c>
      <c r="B28" s="12" t="inlineStr">
        <is>
          <t>Real Estate Taxes</t>
        </is>
      </c>
      <c r="C28" s="38">
        <f>SUMIFS(qPL_Fact!$D:$D,qPL_Fact!$C:$C,$B28,qPL_Fact!$A:$A,C$3)</f>
        <v/>
      </c>
      <c r="D28" s="38">
        <f>SUMIFS(qPL_Fact!$D:$D,qPL_Fact!$C:$C,$B28,qPL_Fact!$A:$A,D$3)</f>
        <v/>
      </c>
      <c r="E28" s="38">
        <f>SUMIFS(qPL_Fact!$D:$D,qPL_Fact!$C:$C,$B28,qPL_Fact!$A:$A,E$3)</f>
        <v/>
      </c>
      <c r="F28" s="38">
        <f>SUMIFS(qPL_Fact!$D:$D,qPL_Fact!$C:$C,$B28,qPL_Fact!$A:$A,F$3)</f>
        <v/>
      </c>
      <c r="G28" s="38">
        <f>SUMIFS(qPL_Fact!$D:$D,qPL_Fact!$C:$C,$B28,qPL_Fact!$A:$A,G$3)</f>
        <v/>
      </c>
      <c r="H28" s="38">
        <f>SUMIFS(qPL_Fact!$D:$D,qPL_Fact!$C:$C,$B28,qPL_Fact!$A:$A,H$3)</f>
        <v/>
      </c>
      <c r="I28" s="38">
        <f>SUMIFS(qPL_Fact!$D:$D,qPL_Fact!$C:$C,$B28,qPL_Fact!$A:$A,I$3)</f>
        <v/>
      </c>
      <c r="J28" s="38">
        <f>SUMIFS(qPL_Fact!$D:$D,qPL_Fact!$C:$C,$B28,qPL_Fact!$A:$A,J$3)</f>
        <v/>
      </c>
      <c r="K28" s="38">
        <f>SUMIFS(qPL_Fact!$D:$D,qPL_Fact!$C:$C,$B28,qPL_Fact!$A:$A,K$3)</f>
        <v/>
      </c>
      <c r="L28" s="38">
        <f>SUMIFS(qPL_Fact!$D:$D,qPL_Fact!$C:$C,$B28,qPL_Fact!$A:$A,L$3)</f>
        <v/>
      </c>
      <c r="M28" s="38">
        <f>SUMIFS(qPL_Fact!$D:$D,qPL_Fact!$C:$C,$B28,qPL_Fact!$A:$A,M$3)</f>
        <v/>
      </c>
      <c r="N28" s="38">
        <f>SUMIFS(qPL_Fact!$D:$D,qPL_Fact!$C:$C,$B28,qPL_Fact!$A:$A,N$3)</f>
        <v/>
      </c>
      <c r="O28" s="38">
        <f>SUM(C28:N28)</f>
        <v/>
      </c>
    </row>
    <row r="29">
      <c r="A29" s="8" t="inlineStr">
        <is>
          <t>6091</t>
        </is>
      </c>
      <c r="B29" s="10" t="inlineStr">
        <is>
          <t>Property Insurance</t>
        </is>
      </c>
      <c r="C29" s="37">
        <f>SUMIFS(qPL_Fact!$D:$D,qPL_Fact!$C:$C,$B29,qPL_Fact!$A:$A,C$3)</f>
        <v/>
      </c>
      <c r="D29" s="37">
        <f>SUMIFS(qPL_Fact!$D:$D,qPL_Fact!$C:$C,$B29,qPL_Fact!$A:$A,D$3)</f>
        <v/>
      </c>
      <c r="E29" s="37">
        <f>SUMIFS(qPL_Fact!$D:$D,qPL_Fact!$C:$C,$B29,qPL_Fact!$A:$A,E$3)</f>
        <v/>
      </c>
      <c r="F29" s="37">
        <f>SUMIFS(qPL_Fact!$D:$D,qPL_Fact!$C:$C,$B29,qPL_Fact!$A:$A,F$3)</f>
        <v/>
      </c>
      <c r="G29" s="37">
        <f>SUMIFS(qPL_Fact!$D:$D,qPL_Fact!$C:$C,$B29,qPL_Fact!$A:$A,G$3)</f>
        <v/>
      </c>
      <c r="H29" s="37">
        <f>SUMIFS(qPL_Fact!$D:$D,qPL_Fact!$C:$C,$B29,qPL_Fact!$A:$A,H$3)</f>
        <v/>
      </c>
      <c r="I29" s="37">
        <f>SUMIFS(qPL_Fact!$D:$D,qPL_Fact!$C:$C,$B29,qPL_Fact!$A:$A,I$3)</f>
        <v/>
      </c>
      <c r="J29" s="37">
        <f>SUMIFS(qPL_Fact!$D:$D,qPL_Fact!$C:$C,$B29,qPL_Fact!$A:$A,J$3)</f>
        <v/>
      </c>
      <c r="K29" s="37">
        <f>SUMIFS(qPL_Fact!$D:$D,qPL_Fact!$C:$C,$B29,qPL_Fact!$A:$A,K$3)</f>
        <v/>
      </c>
      <c r="L29" s="37">
        <f>SUMIFS(qPL_Fact!$D:$D,qPL_Fact!$C:$C,$B29,qPL_Fact!$A:$A,L$3)</f>
        <v/>
      </c>
      <c r="M29" s="37">
        <f>SUMIFS(qPL_Fact!$D:$D,qPL_Fact!$C:$C,$B29,qPL_Fact!$A:$A,M$3)</f>
        <v/>
      </c>
      <c r="N29" s="37">
        <f>SUMIFS(qPL_Fact!$D:$D,qPL_Fact!$C:$C,$B29,qPL_Fact!$A:$A,N$3)</f>
        <v/>
      </c>
      <c r="O29" s="37">
        <f>SUM(C29:N29)</f>
        <v/>
      </c>
    </row>
    <row r="30">
      <c r="A30" s="11" t="inlineStr">
        <is>
          <t>6002</t>
        </is>
      </c>
      <c r="B30" s="12" t="inlineStr">
        <is>
          <t>Payroll</t>
        </is>
      </c>
      <c r="C30" s="38">
        <f>SUMIFS(qPL_Fact!$D:$D,qPL_Fact!$C:$C,$B30,qPL_Fact!$A:$A,C$3)</f>
        <v/>
      </c>
      <c r="D30" s="38">
        <f>SUMIFS(qPL_Fact!$D:$D,qPL_Fact!$C:$C,$B30,qPL_Fact!$A:$A,D$3)</f>
        <v/>
      </c>
      <c r="E30" s="38">
        <f>SUMIFS(qPL_Fact!$D:$D,qPL_Fact!$C:$C,$B30,qPL_Fact!$A:$A,E$3)</f>
        <v/>
      </c>
      <c r="F30" s="38">
        <f>SUMIFS(qPL_Fact!$D:$D,qPL_Fact!$C:$C,$B30,qPL_Fact!$A:$A,F$3)</f>
        <v/>
      </c>
      <c r="G30" s="38">
        <f>SUMIFS(qPL_Fact!$D:$D,qPL_Fact!$C:$C,$B30,qPL_Fact!$A:$A,G$3)</f>
        <v/>
      </c>
      <c r="H30" s="38">
        <f>SUMIFS(qPL_Fact!$D:$D,qPL_Fact!$C:$C,$B30,qPL_Fact!$A:$A,H$3)</f>
        <v/>
      </c>
      <c r="I30" s="38">
        <f>SUMIFS(qPL_Fact!$D:$D,qPL_Fact!$C:$C,$B30,qPL_Fact!$A:$A,I$3)</f>
        <v/>
      </c>
      <c r="J30" s="38">
        <f>SUMIFS(qPL_Fact!$D:$D,qPL_Fact!$C:$C,$B30,qPL_Fact!$A:$A,J$3)</f>
        <v/>
      </c>
      <c r="K30" s="38">
        <f>SUMIFS(qPL_Fact!$D:$D,qPL_Fact!$C:$C,$B30,qPL_Fact!$A:$A,K$3)</f>
        <v/>
      </c>
      <c r="L30" s="38">
        <f>SUMIFS(qPL_Fact!$D:$D,qPL_Fact!$C:$C,$B30,qPL_Fact!$A:$A,L$3)</f>
        <v/>
      </c>
      <c r="M30" s="38">
        <f>SUMIFS(qPL_Fact!$D:$D,qPL_Fact!$C:$C,$B30,qPL_Fact!$A:$A,M$3)</f>
        <v/>
      </c>
      <c r="N30" s="38">
        <f>SUMIFS(qPL_Fact!$D:$D,qPL_Fact!$C:$C,$B30,qPL_Fact!$A:$A,N$3)</f>
        <v/>
      </c>
      <c r="O30" s="38">
        <f>SUM(C30:N30)</f>
        <v/>
      </c>
    </row>
    <row r="31">
      <c r="A31" s="8" t="inlineStr">
        <is>
          <t>6003</t>
        </is>
      </c>
      <c r="B31" s="10" t="inlineStr">
        <is>
          <t>Advertising</t>
        </is>
      </c>
      <c r="C31" s="37">
        <f>SUMIFS(qPL_Fact!$D:$D,qPL_Fact!$C:$C,$B31,qPL_Fact!$A:$A,C$3)</f>
        <v/>
      </c>
      <c r="D31" s="37">
        <f>SUMIFS(qPL_Fact!$D:$D,qPL_Fact!$C:$C,$B31,qPL_Fact!$A:$A,D$3)</f>
        <v/>
      </c>
      <c r="E31" s="37">
        <f>SUMIFS(qPL_Fact!$D:$D,qPL_Fact!$C:$C,$B31,qPL_Fact!$A:$A,E$3)</f>
        <v/>
      </c>
      <c r="F31" s="37">
        <f>SUMIFS(qPL_Fact!$D:$D,qPL_Fact!$C:$C,$B31,qPL_Fact!$A:$A,F$3)</f>
        <v/>
      </c>
      <c r="G31" s="37">
        <f>SUMIFS(qPL_Fact!$D:$D,qPL_Fact!$C:$C,$B31,qPL_Fact!$A:$A,G$3)</f>
        <v/>
      </c>
      <c r="H31" s="37">
        <f>SUMIFS(qPL_Fact!$D:$D,qPL_Fact!$C:$C,$B31,qPL_Fact!$A:$A,H$3)</f>
        <v/>
      </c>
      <c r="I31" s="37">
        <f>SUMIFS(qPL_Fact!$D:$D,qPL_Fact!$C:$C,$B31,qPL_Fact!$A:$A,I$3)</f>
        <v/>
      </c>
      <c r="J31" s="37">
        <f>SUMIFS(qPL_Fact!$D:$D,qPL_Fact!$C:$C,$B31,qPL_Fact!$A:$A,J$3)</f>
        <v/>
      </c>
      <c r="K31" s="37">
        <f>SUMIFS(qPL_Fact!$D:$D,qPL_Fact!$C:$C,$B31,qPL_Fact!$A:$A,K$3)</f>
        <v/>
      </c>
      <c r="L31" s="37">
        <f>SUMIFS(qPL_Fact!$D:$D,qPL_Fact!$C:$C,$B31,qPL_Fact!$A:$A,L$3)</f>
        <v/>
      </c>
      <c r="M31" s="37">
        <f>SUMIFS(qPL_Fact!$D:$D,qPL_Fact!$C:$C,$B31,qPL_Fact!$A:$A,M$3)</f>
        <v/>
      </c>
      <c r="N31" s="37">
        <f>SUMIFS(qPL_Fact!$D:$D,qPL_Fact!$C:$C,$B31,qPL_Fact!$A:$A,N$3)</f>
        <v/>
      </c>
      <c r="O31" s="37">
        <f>SUM(C31:N31)</f>
        <v/>
      </c>
    </row>
    <row r="32">
      <c r="A32" s="11" t="inlineStr">
        <is>
          <t>6171</t>
        </is>
      </c>
      <c r="B32" s="12" t="inlineStr">
        <is>
          <t>Electricity</t>
        </is>
      </c>
      <c r="C32" s="38">
        <f>SUMIFS(qPL_Fact!$D:$D,qPL_Fact!$C:$C,$B32,qPL_Fact!$A:$A,C$3)</f>
        <v/>
      </c>
      <c r="D32" s="38">
        <f>SUMIFS(qPL_Fact!$D:$D,qPL_Fact!$C:$C,$B32,qPL_Fact!$A:$A,D$3)</f>
        <v/>
      </c>
      <c r="E32" s="38">
        <f>SUMIFS(qPL_Fact!$D:$D,qPL_Fact!$C:$C,$B32,qPL_Fact!$A:$A,E$3)</f>
        <v/>
      </c>
      <c r="F32" s="38">
        <f>SUMIFS(qPL_Fact!$D:$D,qPL_Fact!$C:$C,$B32,qPL_Fact!$A:$A,F$3)</f>
        <v/>
      </c>
      <c r="G32" s="38">
        <f>SUMIFS(qPL_Fact!$D:$D,qPL_Fact!$C:$C,$B32,qPL_Fact!$A:$A,G$3)</f>
        <v/>
      </c>
      <c r="H32" s="38">
        <f>SUMIFS(qPL_Fact!$D:$D,qPL_Fact!$C:$C,$B32,qPL_Fact!$A:$A,H$3)</f>
        <v/>
      </c>
      <c r="I32" s="38">
        <f>SUMIFS(qPL_Fact!$D:$D,qPL_Fact!$C:$C,$B32,qPL_Fact!$A:$A,I$3)</f>
        <v/>
      </c>
      <c r="J32" s="38">
        <f>SUMIFS(qPL_Fact!$D:$D,qPL_Fact!$C:$C,$B32,qPL_Fact!$A:$A,J$3)</f>
        <v/>
      </c>
      <c r="K32" s="38">
        <f>SUMIFS(qPL_Fact!$D:$D,qPL_Fact!$C:$C,$B32,qPL_Fact!$A:$A,K$3)</f>
        <v/>
      </c>
      <c r="L32" s="38">
        <f>SUMIFS(qPL_Fact!$D:$D,qPL_Fact!$C:$C,$B32,qPL_Fact!$A:$A,L$3)</f>
        <v/>
      </c>
      <c r="M32" s="38">
        <f>SUMIFS(qPL_Fact!$D:$D,qPL_Fact!$C:$C,$B32,qPL_Fact!$A:$A,M$3)</f>
        <v/>
      </c>
      <c r="N32" s="38">
        <f>SUMIFS(qPL_Fact!$D:$D,qPL_Fact!$C:$C,$B32,qPL_Fact!$A:$A,N$3)</f>
        <v/>
      </c>
      <c r="O32" s="38">
        <f>SUM(C32:N32)</f>
        <v/>
      </c>
    </row>
    <row r="33">
      <c r="A33" s="8" t="inlineStr">
        <is>
          <t>6172</t>
        </is>
      </c>
      <c r="B33" s="10" t="inlineStr">
        <is>
          <t>Gas</t>
        </is>
      </c>
      <c r="C33" s="37">
        <f>SUMIFS(qPL_Fact!$D:$D,qPL_Fact!$C:$C,$B33,qPL_Fact!$A:$A,C$3)</f>
        <v/>
      </c>
      <c r="D33" s="37">
        <f>SUMIFS(qPL_Fact!$D:$D,qPL_Fact!$C:$C,$B33,qPL_Fact!$A:$A,D$3)</f>
        <v/>
      </c>
      <c r="E33" s="37">
        <f>SUMIFS(qPL_Fact!$D:$D,qPL_Fact!$C:$C,$B33,qPL_Fact!$A:$A,E$3)</f>
        <v/>
      </c>
      <c r="F33" s="37">
        <f>SUMIFS(qPL_Fact!$D:$D,qPL_Fact!$C:$C,$B33,qPL_Fact!$A:$A,F$3)</f>
        <v/>
      </c>
      <c r="G33" s="37">
        <f>SUMIFS(qPL_Fact!$D:$D,qPL_Fact!$C:$C,$B33,qPL_Fact!$A:$A,G$3)</f>
        <v/>
      </c>
      <c r="H33" s="37">
        <f>SUMIFS(qPL_Fact!$D:$D,qPL_Fact!$C:$C,$B33,qPL_Fact!$A:$A,H$3)</f>
        <v/>
      </c>
      <c r="I33" s="37">
        <f>SUMIFS(qPL_Fact!$D:$D,qPL_Fact!$C:$C,$B33,qPL_Fact!$A:$A,I$3)</f>
        <v/>
      </c>
      <c r="J33" s="37">
        <f>SUMIFS(qPL_Fact!$D:$D,qPL_Fact!$C:$C,$B33,qPL_Fact!$A:$A,J$3)</f>
        <v/>
      </c>
      <c r="K33" s="37">
        <f>SUMIFS(qPL_Fact!$D:$D,qPL_Fact!$C:$C,$B33,qPL_Fact!$A:$A,K$3)</f>
        <v/>
      </c>
      <c r="L33" s="37">
        <f>SUMIFS(qPL_Fact!$D:$D,qPL_Fact!$C:$C,$B33,qPL_Fact!$A:$A,L$3)</f>
        <v/>
      </c>
      <c r="M33" s="37">
        <f>SUMIFS(qPL_Fact!$D:$D,qPL_Fact!$C:$C,$B33,qPL_Fact!$A:$A,M$3)</f>
        <v/>
      </c>
      <c r="N33" s="37">
        <f>SUMIFS(qPL_Fact!$D:$D,qPL_Fact!$C:$C,$B33,qPL_Fact!$A:$A,N$3)</f>
        <v/>
      </c>
      <c r="O33" s="37">
        <f>SUM(C33:N33)</f>
        <v/>
      </c>
    </row>
    <row r="34">
      <c r="A34" s="11" t="inlineStr">
        <is>
          <t>6173</t>
        </is>
      </c>
      <c r="B34" s="12" t="inlineStr">
        <is>
          <t>Water</t>
        </is>
      </c>
      <c r="C34" s="38">
        <f>SUMIFS(qPL_Fact!$D:$D,qPL_Fact!$C:$C,$B34,qPL_Fact!$A:$A,C$3)</f>
        <v/>
      </c>
      <c r="D34" s="38">
        <f>SUMIFS(qPL_Fact!$D:$D,qPL_Fact!$C:$C,$B34,qPL_Fact!$A:$A,D$3)</f>
        <v/>
      </c>
      <c r="E34" s="38">
        <f>SUMIFS(qPL_Fact!$D:$D,qPL_Fact!$C:$C,$B34,qPL_Fact!$A:$A,E$3)</f>
        <v/>
      </c>
      <c r="F34" s="38">
        <f>SUMIFS(qPL_Fact!$D:$D,qPL_Fact!$C:$C,$B34,qPL_Fact!$A:$A,F$3)</f>
        <v/>
      </c>
      <c r="G34" s="38">
        <f>SUMIFS(qPL_Fact!$D:$D,qPL_Fact!$C:$C,$B34,qPL_Fact!$A:$A,G$3)</f>
        <v/>
      </c>
      <c r="H34" s="38">
        <f>SUMIFS(qPL_Fact!$D:$D,qPL_Fact!$C:$C,$B34,qPL_Fact!$A:$A,H$3)</f>
        <v/>
      </c>
      <c r="I34" s="38">
        <f>SUMIFS(qPL_Fact!$D:$D,qPL_Fact!$C:$C,$B34,qPL_Fact!$A:$A,I$3)</f>
        <v/>
      </c>
      <c r="J34" s="38">
        <f>SUMIFS(qPL_Fact!$D:$D,qPL_Fact!$C:$C,$B34,qPL_Fact!$A:$A,J$3)</f>
        <v/>
      </c>
      <c r="K34" s="38">
        <f>SUMIFS(qPL_Fact!$D:$D,qPL_Fact!$C:$C,$B34,qPL_Fact!$A:$A,K$3)</f>
        <v/>
      </c>
      <c r="L34" s="38">
        <f>SUMIFS(qPL_Fact!$D:$D,qPL_Fact!$C:$C,$B34,qPL_Fact!$A:$A,L$3)</f>
        <v/>
      </c>
      <c r="M34" s="38">
        <f>SUMIFS(qPL_Fact!$D:$D,qPL_Fact!$C:$C,$B34,qPL_Fact!$A:$A,M$3)</f>
        <v/>
      </c>
      <c r="N34" s="38">
        <f>SUMIFS(qPL_Fact!$D:$D,qPL_Fact!$C:$C,$B34,qPL_Fact!$A:$A,N$3)</f>
        <v/>
      </c>
      <c r="O34" s="38">
        <f>SUM(C34:N34)</f>
        <v/>
      </c>
    </row>
    <row r="35">
      <c r="A35" s="8" t="inlineStr">
        <is>
          <t>6175</t>
        </is>
      </c>
      <c r="B35" s="10" t="inlineStr">
        <is>
          <t>Garbage &amp; Recycling</t>
        </is>
      </c>
      <c r="C35" s="37">
        <f>SUMIFS(qPL_Fact!$D:$D,qPL_Fact!$C:$C,$B35,qPL_Fact!$A:$A,C$3)</f>
        <v/>
      </c>
      <c r="D35" s="37">
        <f>SUMIFS(qPL_Fact!$D:$D,qPL_Fact!$C:$C,$B35,qPL_Fact!$A:$A,D$3)</f>
        <v/>
      </c>
      <c r="E35" s="37">
        <f>SUMIFS(qPL_Fact!$D:$D,qPL_Fact!$C:$C,$B35,qPL_Fact!$A:$A,E$3)</f>
        <v/>
      </c>
      <c r="F35" s="37">
        <f>SUMIFS(qPL_Fact!$D:$D,qPL_Fact!$C:$C,$B35,qPL_Fact!$A:$A,F$3)</f>
        <v/>
      </c>
      <c r="G35" s="37">
        <f>SUMIFS(qPL_Fact!$D:$D,qPL_Fact!$C:$C,$B35,qPL_Fact!$A:$A,G$3)</f>
        <v/>
      </c>
      <c r="H35" s="37">
        <f>SUMIFS(qPL_Fact!$D:$D,qPL_Fact!$C:$C,$B35,qPL_Fact!$A:$A,H$3)</f>
        <v/>
      </c>
      <c r="I35" s="37">
        <f>SUMIFS(qPL_Fact!$D:$D,qPL_Fact!$C:$C,$B35,qPL_Fact!$A:$A,I$3)</f>
        <v/>
      </c>
      <c r="J35" s="37">
        <f>SUMIFS(qPL_Fact!$D:$D,qPL_Fact!$C:$C,$B35,qPL_Fact!$A:$A,J$3)</f>
        <v/>
      </c>
      <c r="K35" s="37">
        <f>SUMIFS(qPL_Fact!$D:$D,qPL_Fact!$C:$C,$B35,qPL_Fact!$A:$A,K$3)</f>
        <v/>
      </c>
      <c r="L35" s="37">
        <f>SUMIFS(qPL_Fact!$D:$D,qPL_Fact!$C:$C,$B35,qPL_Fact!$A:$A,L$3)</f>
        <v/>
      </c>
      <c r="M35" s="37">
        <f>SUMIFS(qPL_Fact!$D:$D,qPL_Fact!$C:$C,$B35,qPL_Fact!$A:$A,M$3)</f>
        <v/>
      </c>
      <c r="N35" s="37">
        <f>SUMIFS(qPL_Fact!$D:$D,qPL_Fact!$C:$C,$B35,qPL_Fact!$A:$A,N$3)</f>
        <v/>
      </c>
      <c r="O35" s="37">
        <f>SUM(C35:N35)</f>
        <v/>
      </c>
    </row>
    <row r="36">
      <c r="A36" s="11" t="inlineStr">
        <is>
          <t>6176</t>
        </is>
      </c>
      <c r="B36" s="12" t="inlineStr">
        <is>
          <t>Internet</t>
        </is>
      </c>
      <c r="C36" s="38">
        <f>SUMIFS(qPL_Fact!$D:$D,qPL_Fact!$C:$C,$B36,qPL_Fact!$A:$A,C$3)</f>
        <v/>
      </c>
      <c r="D36" s="38">
        <f>SUMIFS(qPL_Fact!$D:$D,qPL_Fact!$C:$C,$B36,qPL_Fact!$A:$A,D$3)</f>
        <v/>
      </c>
      <c r="E36" s="38">
        <f>SUMIFS(qPL_Fact!$D:$D,qPL_Fact!$C:$C,$B36,qPL_Fact!$A:$A,E$3)</f>
        <v/>
      </c>
      <c r="F36" s="38">
        <f>SUMIFS(qPL_Fact!$D:$D,qPL_Fact!$C:$C,$B36,qPL_Fact!$A:$A,F$3)</f>
        <v/>
      </c>
      <c r="G36" s="38">
        <f>SUMIFS(qPL_Fact!$D:$D,qPL_Fact!$C:$C,$B36,qPL_Fact!$A:$A,G$3)</f>
        <v/>
      </c>
      <c r="H36" s="38">
        <f>SUMIFS(qPL_Fact!$D:$D,qPL_Fact!$C:$C,$B36,qPL_Fact!$A:$A,H$3)</f>
        <v/>
      </c>
      <c r="I36" s="38">
        <f>SUMIFS(qPL_Fact!$D:$D,qPL_Fact!$C:$C,$B36,qPL_Fact!$A:$A,I$3)</f>
        <v/>
      </c>
      <c r="J36" s="38">
        <f>SUMIFS(qPL_Fact!$D:$D,qPL_Fact!$C:$C,$B36,qPL_Fact!$A:$A,J$3)</f>
        <v/>
      </c>
      <c r="K36" s="38">
        <f>SUMIFS(qPL_Fact!$D:$D,qPL_Fact!$C:$C,$B36,qPL_Fact!$A:$A,K$3)</f>
        <v/>
      </c>
      <c r="L36" s="38">
        <f>SUMIFS(qPL_Fact!$D:$D,qPL_Fact!$C:$C,$B36,qPL_Fact!$A:$A,L$3)</f>
        <v/>
      </c>
      <c r="M36" s="38">
        <f>SUMIFS(qPL_Fact!$D:$D,qPL_Fact!$C:$C,$B36,qPL_Fact!$A:$A,M$3)</f>
        <v/>
      </c>
      <c r="N36" s="38">
        <f>SUMIFS(qPL_Fact!$D:$D,qPL_Fact!$C:$C,$B36,qPL_Fact!$A:$A,N$3)</f>
        <v/>
      </c>
      <c r="O36" s="38">
        <f>SUM(C36:N36)</f>
        <v/>
      </c>
    </row>
    <row r="37">
      <c r="A37" s="8" t="inlineStr">
        <is>
          <t>6111</t>
        </is>
      </c>
      <c r="B37" s="10" t="inlineStr">
        <is>
          <t>Management Fee (4%)</t>
        </is>
      </c>
      <c r="C37" s="37">
        <f>SUMIFS(qPL_Fact!$D:$D,qPL_Fact!$C:$C,$B37,qPL_Fact!$A:$A,C$3)</f>
        <v/>
      </c>
      <c r="D37" s="37">
        <f>SUMIFS(qPL_Fact!$D:$D,qPL_Fact!$C:$C,$B37,qPL_Fact!$A:$A,D$3)</f>
        <v/>
      </c>
      <c r="E37" s="37">
        <f>SUMIFS(qPL_Fact!$D:$D,qPL_Fact!$C:$C,$B37,qPL_Fact!$A:$A,E$3)</f>
        <v/>
      </c>
      <c r="F37" s="37">
        <f>SUMIFS(qPL_Fact!$D:$D,qPL_Fact!$C:$C,$B37,qPL_Fact!$A:$A,F$3)</f>
        <v/>
      </c>
      <c r="G37" s="37">
        <f>SUMIFS(qPL_Fact!$D:$D,qPL_Fact!$C:$C,$B37,qPL_Fact!$A:$A,G$3)</f>
        <v/>
      </c>
      <c r="H37" s="37">
        <f>SUMIFS(qPL_Fact!$D:$D,qPL_Fact!$C:$C,$B37,qPL_Fact!$A:$A,H$3)</f>
        <v/>
      </c>
      <c r="I37" s="37">
        <f>SUMIFS(qPL_Fact!$D:$D,qPL_Fact!$C:$C,$B37,qPL_Fact!$A:$A,I$3)</f>
        <v/>
      </c>
      <c r="J37" s="37">
        <f>SUMIFS(qPL_Fact!$D:$D,qPL_Fact!$C:$C,$B37,qPL_Fact!$A:$A,J$3)</f>
        <v/>
      </c>
      <c r="K37" s="37">
        <f>SUMIFS(qPL_Fact!$D:$D,qPL_Fact!$C:$C,$B37,qPL_Fact!$A:$A,K$3)</f>
        <v/>
      </c>
      <c r="L37" s="37">
        <f>SUMIFS(qPL_Fact!$D:$D,qPL_Fact!$C:$C,$B37,qPL_Fact!$A:$A,L$3)</f>
        <v/>
      </c>
      <c r="M37" s="37">
        <f>SUMIFS(qPL_Fact!$D:$D,qPL_Fact!$C:$C,$B37,qPL_Fact!$A:$A,M$3)</f>
        <v/>
      </c>
      <c r="N37" s="37">
        <f>SUMIFS(qPL_Fact!$D:$D,qPL_Fact!$C:$C,$B37,qPL_Fact!$A:$A,N$3)</f>
        <v/>
      </c>
      <c r="O37" s="37">
        <f>SUM(C37:N37)</f>
        <v/>
      </c>
    </row>
    <row r="38">
      <c r="A38" s="11" t="inlineStr">
        <is>
          <t>6073</t>
        </is>
      </c>
      <c r="B38" s="12" t="inlineStr">
        <is>
          <t>General Maint. Labor</t>
        </is>
      </c>
      <c r="C38" s="38">
        <f>SUMIFS(qPL_Fact!$D:$D,qPL_Fact!$C:$C,$B38,qPL_Fact!$A:$A,C$3)</f>
        <v/>
      </c>
      <c r="D38" s="38">
        <f>SUMIFS(qPL_Fact!$D:$D,qPL_Fact!$C:$C,$B38,qPL_Fact!$A:$A,D$3)</f>
        <v/>
      </c>
      <c r="E38" s="38">
        <f>SUMIFS(qPL_Fact!$D:$D,qPL_Fact!$C:$C,$B38,qPL_Fact!$A:$A,E$3)</f>
        <v/>
      </c>
      <c r="F38" s="38">
        <f>SUMIFS(qPL_Fact!$D:$D,qPL_Fact!$C:$C,$B38,qPL_Fact!$A:$A,F$3)</f>
        <v/>
      </c>
      <c r="G38" s="38">
        <f>SUMIFS(qPL_Fact!$D:$D,qPL_Fact!$C:$C,$B38,qPL_Fact!$A:$A,G$3)</f>
        <v/>
      </c>
      <c r="H38" s="38">
        <f>SUMIFS(qPL_Fact!$D:$D,qPL_Fact!$C:$C,$B38,qPL_Fact!$A:$A,H$3)</f>
        <v/>
      </c>
      <c r="I38" s="38">
        <f>SUMIFS(qPL_Fact!$D:$D,qPL_Fact!$C:$C,$B38,qPL_Fact!$A:$A,I$3)</f>
        <v/>
      </c>
      <c r="J38" s="38">
        <f>SUMIFS(qPL_Fact!$D:$D,qPL_Fact!$C:$C,$B38,qPL_Fact!$A:$A,J$3)</f>
        <v/>
      </c>
      <c r="K38" s="38">
        <f>SUMIFS(qPL_Fact!$D:$D,qPL_Fact!$C:$C,$B38,qPL_Fact!$A:$A,K$3)</f>
        <v/>
      </c>
      <c r="L38" s="38">
        <f>SUMIFS(qPL_Fact!$D:$D,qPL_Fact!$C:$C,$B38,qPL_Fact!$A:$A,L$3)</f>
        <v/>
      </c>
      <c r="M38" s="38">
        <f>SUMIFS(qPL_Fact!$D:$D,qPL_Fact!$C:$C,$B38,qPL_Fact!$A:$A,M$3)</f>
        <v/>
      </c>
      <c r="N38" s="38">
        <f>SUMIFS(qPL_Fact!$D:$D,qPL_Fact!$C:$C,$B38,qPL_Fact!$A:$A,N$3)</f>
        <v/>
      </c>
      <c r="O38" s="38">
        <f>SUM(C38:N38)</f>
        <v/>
      </c>
    </row>
    <row r="39">
      <c r="A39" s="8" t="inlineStr">
        <is>
          <t>6074</t>
        </is>
      </c>
      <c r="B39" s="10" t="inlineStr">
        <is>
          <t>Landscaping</t>
        </is>
      </c>
      <c r="C39" s="37">
        <f>SUMIFS(qPL_Fact!$D:$D,qPL_Fact!$C:$C,$B39,qPL_Fact!$A:$A,C$3)</f>
        <v/>
      </c>
      <c r="D39" s="37">
        <f>SUMIFS(qPL_Fact!$D:$D,qPL_Fact!$C:$C,$B39,qPL_Fact!$A:$A,D$3)</f>
        <v/>
      </c>
      <c r="E39" s="37">
        <f>SUMIFS(qPL_Fact!$D:$D,qPL_Fact!$C:$C,$B39,qPL_Fact!$A:$A,E$3)</f>
        <v/>
      </c>
      <c r="F39" s="37">
        <f>SUMIFS(qPL_Fact!$D:$D,qPL_Fact!$C:$C,$B39,qPL_Fact!$A:$A,F$3)</f>
        <v/>
      </c>
      <c r="G39" s="37">
        <f>SUMIFS(qPL_Fact!$D:$D,qPL_Fact!$C:$C,$B39,qPL_Fact!$A:$A,G$3)</f>
        <v/>
      </c>
      <c r="H39" s="37">
        <f>SUMIFS(qPL_Fact!$D:$D,qPL_Fact!$C:$C,$B39,qPL_Fact!$A:$A,H$3)</f>
        <v/>
      </c>
      <c r="I39" s="37">
        <f>SUMIFS(qPL_Fact!$D:$D,qPL_Fact!$C:$C,$B39,qPL_Fact!$A:$A,I$3)</f>
        <v/>
      </c>
      <c r="J39" s="37">
        <f>SUMIFS(qPL_Fact!$D:$D,qPL_Fact!$C:$C,$B39,qPL_Fact!$A:$A,J$3)</f>
        <v/>
      </c>
      <c r="K39" s="37">
        <f>SUMIFS(qPL_Fact!$D:$D,qPL_Fact!$C:$C,$B39,qPL_Fact!$A:$A,K$3)</f>
        <v/>
      </c>
      <c r="L39" s="37">
        <f>SUMIFS(qPL_Fact!$D:$D,qPL_Fact!$C:$C,$B39,qPL_Fact!$A:$A,L$3)</f>
        <v/>
      </c>
      <c r="M39" s="37">
        <f>SUMIFS(qPL_Fact!$D:$D,qPL_Fact!$C:$C,$B39,qPL_Fact!$A:$A,M$3)</f>
        <v/>
      </c>
      <c r="N39" s="37">
        <f>SUMIFS(qPL_Fact!$D:$D,qPL_Fact!$C:$C,$B39,qPL_Fact!$A:$A,N$3)</f>
        <v/>
      </c>
      <c r="O39" s="37">
        <f>SUM(C39:N39)</f>
        <v/>
      </c>
    </row>
    <row r="40">
      <c r="A40" s="11" t="inlineStr">
        <is>
          <t>6076</t>
        </is>
      </c>
      <c r="B40" s="12" t="inlineStr">
        <is>
          <t>Cleaning &amp; Maint</t>
        </is>
      </c>
      <c r="C40" s="38">
        <f>SUMIFS(qPL_Fact!$D:$D,qPL_Fact!$C:$C,$B40,qPL_Fact!$A:$A,C$3)</f>
        <v/>
      </c>
      <c r="D40" s="38">
        <f>SUMIFS(qPL_Fact!$D:$D,qPL_Fact!$C:$C,$B40,qPL_Fact!$A:$A,D$3)</f>
        <v/>
      </c>
      <c r="E40" s="38">
        <f>SUMIFS(qPL_Fact!$D:$D,qPL_Fact!$C:$C,$B40,qPL_Fact!$A:$A,E$3)</f>
        <v/>
      </c>
      <c r="F40" s="38">
        <f>SUMIFS(qPL_Fact!$D:$D,qPL_Fact!$C:$C,$B40,qPL_Fact!$A:$A,F$3)</f>
        <v/>
      </c>
      <c r="G40" s="38">
        <f>SUMIFS(qPL_Fact!$D:$D,qPL_Fact!$C:$C,$B40,qPL_Fact!$A:$A,G$3)</f>
        <v/>
      </c>
      <c r="H40" s="38">
        <f>SUMIFS(qPL_Fact!$D:$D,qPL_Fact!$C:$C,$B40,qPL_Fact!$A:$A,H$3)</f>
        <v/>
      </c>
      <c r="I40" s="38">
        <f>SUMIFS(qPL_Fact!$D:$D,qPL_Fact!$C:$C,$B40,qPL_Fact!$A:$A,I$3)</f>
        <v/>
      </c>
      <c r="J40" s="38">
        <f>SUMIFS(qPL_Fact!$D:$D,qPL_Fact!$C:$C,$B40,qPL_Fact!$A:$A,J$3)</f>
        <v/>
      </c>
      <c r="K40" s="38">
        <f>SUMIFS(qPL_Fact!$D:$D,qPL_Fact!$C:$C,$B40,qPL_Fact!$A:$A,K$3)</f>
        <v/>
      </c>
      <c r="L40" s="38">
        <f>SUMIFS(qPL_Fact!$D:$D,qPL_Fact!$C:$C,$B40,qPL_Fact!$A:$A,L$3)</f>
        <v/>
      </c>
      <c r="M40" s="38">
        <f>SUMIFS(qPL_Fact!$D:$D,qPL_Fact!$C:$C,$B40,qPL_Fact!$A:$A,M$3)</f>
        <v/>
      </c>
      <c r="N40" s="38">
        <f>SUMIFS(qPL_Fact!$D:$D,qPL_Fact!$C:$C,$B40,qPL_Fact!$A:$A,N$3)</f>
        <v/>
      </c>
      <c r="O40" s="38">
        <f>SUM(C40:N40)</f>
        <v/>
      </c>
    </row>
    <row r="41">
      <c r="A41" s="8" t="inlineStr">
        <is>
          <t>6077</t>
        </is>
      </c>
      <c r="B41" s="10" t="inlineStr">
        <is>
          <t>Common Area Cleaning</t>
        </is>
      </c>
      <c r="C41" s="37">
        <f>SUMIFS(qPL_Fact!$D:$D,qPL_Fact!$C:$C,$B41,qPL_Fact!$A:$A,C$3)</f>
        <v/>
      </c>
      <c r="D41" s="37">
        <f>SUMIFS(qPL_Fact!$D:$D,qPL_Fact!$C:$C,$B41,qPL_Fact!$A:$A,D$3)</f>
        <v/>
      </c>
      <c r="E41" s="37">
        <f>SUMIFS(qPL_Fact!$D:$D,qPL_Fact!$C:$C,$B41,qPL_Fact!$A:$A,E$3)</f>
        <v/>
      </c>
      <c r="F41" s="37">
        <f>SUMIFS(qPL_Fact!$D:$D,qPL_Fact!$C:$C,$B41,qPL_Fact!$A:$A,F$3)</f>
        <v/>
      </c>
      <c r="G41" s="37">
        <f>SUMIFS(qPL_Fact!$D:$D,qPL_Fact!$C:$C,$B41,qPL_Fact!$A:$A,G$3)</f>
        <v/>
      </c>
      <c r="H41" s="37">
        <f>SUMIFS(qPL_Fact!$D:$D,qPL_Fact!$C:$C,$B41,qPL_Fact!$A:$A,H$3)</f>
        <v/>
      </c>
      <c r="I41" s="37">
        <f>SUMIFS(qPL_Fact!$D:$D,qPL_Fact!$C:$C,$B41,qPL_Fact!$A:$A,I$3)</f>
        <v/>
      </c>
      <c r="J41" s="37">
        <f>SUMIFS(qPL_Fact!$D:$D,qPL_Fact!$C:$C,$B41,qPL_Fact!$A:$A,J$3)</f>
        <v/>
      </c>
      <c r="K41" s="37">
        <f>SUMIFS(qPL_Fact!$D:$D,qPL_Fact!$C:$C,$B41,qPL_Fact!$A:$A,K$3)</f>
        <v/>
      </c>
      <c r="L41" s="37">
        <f>SUMIFS(qPL_Fact!$D:$D,qPL_Fact!$C:$C,$B41,qPL_Fact!$A:$A,L$3)</f>
        <v/>
      </c>
      <c r="M41" s="37">
        <f>SUMIFS(qPL_Fact!$D:$D,qPL_Fact!$C:$C,$B41,qPL_Fact!$A:$A,M$3)</f>
        <v/>
      </c>
      <c r="N41" s="37">
        <f>SUMIFS(qPL_Fact!$D:$D,qPL_Fact!$C:$C,$B41,qPL_Fact!$A:$A,N$3)</f>
        <v/>
      </c>
      <c r="O41" s="37">
        <f>SUM(C41:N41)</f>
        <v/>
      </c>
    </row>
    <row r="42">
      <c r="A42" s="11" t="inlineStr">
        <is>
          <t>6078</t>
        </is>
      </c>
      <c r="B42" s="12" t="inlineStr">
        <is>
          <t>Pest Control</t>
        </is>
      </c>
      <c r="C42" s="38">
        <f>SUMIFS(qPL_Fact!$D:$D,qPL_Fact!$C:$C,$B42,qPL_Fact!$A:$A,C$3)</f>
        <v/>
      </c>
      <c r="D42" s="38">
        <f>SUMIFS(qPL_Fact!$D:$D,qPL_Fact!$C:$C,$B42,qPL_Fact!$A:$A,D$3)</f>
        <v/>
      </c>
      <c r="E42" s="38">
        <f>SUMIFS(qPL_Fact!$D:$D,qPL_Fact!$C:$C,$B42,qPL_Fact!$A:$A,E$3)</f>
        <v/>
      </c>
      <c r="F42" s="38">
        <f>SUMIFS(qPL_Fact!$D:$D,qPL_Fact!$C:$C,$B42,qPL_Fact!$A:$A,F$3)</f>
        <v/>
      </c>
      <c r="G42" s="38">
        <f>SUMIFS(qPL_Fact!$D:$D,qPL_Fact!$C:$C,$B42,qPL_Fact!$A:$A,G$3)</f>
        <v/>
      </c>
      <c r="H42" s="38">
        <f>SUMIFS(qPL_Fact!$D:$D,qPL_Fact!$C:$C,$B42,qPL_Fact!$A:$A,H$3)</f>
        <v/>
      </c>
      <c r="I42" s="38">
        <f>SUMIFS(qPL_Fact!$D:$D,qPL_Fact!$C:$C,$B42,qPL_Fact!$A:$A,I$3)</f>
        <v/>
      </c>
      <c r="J42" s="38">
        <f>SUMIFS(qPL_Fact!$D:$D,qPL_Fact!$C:$C,$B42,qPL_Fact!$A:$A,J$3)</f>
        <v/>
      </c>
      <c r="K42" s="38">
        <f>SUMIFS(qPL_Fact!$D:$D,qPL_Fact!$C:$C,$B42,qPL_Fact!$A:$A,K$3)</f>
        <v/>
      </c>
      <c r="L42" s="38">
        <f>SUMIFS(qPL_Fact!$D:$D,qPL_Fact!$C:$C,$B42,qPL_Fact!$A:$A,L$3)</f>
        <v/>
      </c>
      <c r="M42" s="38">
        <f>SUMIFS(qPL_Fact!$D:$D,qPL_Fact!$C:$C,$B42,qPL_Fact!$A:$A,M$3)</f>
        <v/>
      </c>
      <c r="N42" s="38">
        <f>SUMIFS(qPL_Fact!$D:$D,qPL_Fact!$C:$C,$B42,qPL_Fact!$A:$A,N$3)</f>
        <v/>
      </c>
      <c r="O42" s="38">
        <f>SUM(C42:N42)</f>
        <v/>
      </c>
    </row>
    <row r="43">
      <c r="A43" s="8" t="inlineStr">
        <is>
          <t>6071</t>
        </is>
      </c>
      <c r="B43" s="10" t="inlineStr">
        <is>
          <t>Carpet Cleaning</t>
        </is>
      </c>
      <c r="C43" s="37">
        <f>SUMIFS(qPL_Fact!$D:$D,qPL_Fact!$C:$C,$B43,qPL_Fact!$A:$A,C$3)</f>
        <v/>
      </c>
      <c r="D43" s="37">
        <f>SUMIFS(qPL_Fact!$D:$D,qPL_Fact!$C:$C,$B43,qPL_Fact!$A:$A,D$3)</f>
        <v/>
      </c>
      <c r="E43" s="37">
        <f>SUMIFS(qPL_Fact!$D:$D,qPL_Fact!$C:$C,$B43,qPL_Fact!$A:$A,E$3)</f>
        <v/>
      </c>
      <c r="F43" s="37">
        <f>SUMIFS(qPL_Fact!$D:$D,qPL_Fact!$C:$C,$B43,qPL_Fact!$A:$A,F$3)</f>
        <v/>
      </c>
      <c r="G43" s="37">
        <f>SUMIFS(qPL_Fact!$D:$D,qPL_Fact!$C:$C,$B43,qPL_Fact!$A:$A,G$3)</f>
        <v/>
      </c>
      <c r="H43" s="37">
        <f>SUMIFS(qPL_Fact!$D:$D,qPL_Fact!$C:$C,$B43,qPL_Fact!$A:$A,H$3)</f>
        <v/>
      </c>
      <c r="I43" s="37">
        <f>SUMIFS(qPL_Fact!$D:$D,qPL_Fact!$C:$C,$B43,qPL_Fact!$A:$A,I$3)</f>
        <v/>
      </c>
      <c r="J43" s="37">
        <f>SUMIFS(qPL_Fact!$D:$D,qPL_Fact!$C:$C,$B43,qPL_Fact!$A:$A,J$3)</f>
        <v/>
      </c>
      <c r="K43" s="37">
        <f>SUMIFS(qPL_Fact!$D:$D,qPL_Fact!$C:$C,$B43,qPL_Fact!$A:$A,K$3)</f>
        <v/>
      </c>
      <c r="L43" s="37">
        <f>SUMIFS(qPL_Fact!$D:$D,qPL_Fact!$C:$C,$B43,qPL_Fact!$A:$A,L$3)</f>
        <v/>
      </c>
      <c r="M43" s="37">
        <f>SUMIFS(qPL_Fact!$D:$D,qPL_Fact!$C:$C,$B43,qPL_Fact!$A:$A,M$3)</f>
        <v/>
      </c>
      <c r="N43" s="37">
        <f>SUMIFS(qPL_Fact!$D:$D,qPL_Fact!$C:$C,$B43,qPL_Fact!$A:$A,N$3)</f>
        <v/>
      </c>
      <c r="O43" s="37">
        <f>SUM(C43:N43)</f>
        <v/>
      </c>
    </row>
    <row r="44">
      <c r="A44" s="11" t="inlineStr">
        <is>
          <t>6072</t>
        </is>
      </c>
      <c r="B44" s="12" t="inlineStr">
        <is>
          <t>Janitorial</t>
        </is>
      </c>
      <c r="C44" s="38">
        <f>SUMIFS(qPL_Fact!$D:$D,qPL_Fact!$C:$C,$B44,qPL_Fact!$A:$A,C$3)</f>
        <v/>
      </c>
      <c r="D44" s="38">
        <f>SUMIFS(qPL_Fact!$D:$D,qPL_Fact!$C:$C,$B44,qPL_Fact!$A:$A,D$3)</f>
        <v/>
      </c>
      <c r="E44" s="38">
        <f>SUMIFS(qPL_Fact!$D:$D,qPL_Fact!$C:$C,$B44,qPL_Fact!$A:$A,E$3)</f>
        <v/>
      </c>
      <c r="F44" s="38">
        <f>SUMIFS(qPL_Fact!$D:$D,qPL_Fact!$C:$C,$B44,qPL_Fact!$A:$A,F$3)</f>
        <v/>
      </c>
      <c r="G44" s="38">
        <f>SUMIFS(qPL_Fact!$D:$D,qPL_Fact!$C:$C,$B44,qPL_Fact!$A:$A,G$3)</f>
        <v/>
      </c>
      <c r="H44" s="38">
        <f>SUMIFS(qPL_Fact!$D:$D,qPL_Fact!$C:$C,$B44,qPL_Fact!$A:$A,H$3)</f>
        <v/>
      </c>
      <c r="I44" s="38">
        <f>SUMIFS(qPL_Fact!$D:$D,qPL_Fact!$C:$C,$B44,qPL_Fact!$A:$A,I$3)</f>
        <v/>
      </c>
      <c r="J44" s="38">
        <f>SUMIFS(qPL_Fact!$D:$D,qPL_Fact!$C:$C,$B44,qPL_Fact!$A:$A,J$3)</f>
        <v/>
      </c>
      <c r="K44" s="38">
        <f>SUMIFS(qPL_Fact!$D:$D,qPL_Fact!$C:$C,$B44,qPL_Fact!$A:$A,K$3)</f>
        <v/>
      </c>
      <c r="L44" s="38">
        <f>SUMIFS(qPL_Fact!$D:$D,qPL_Fact!$C:$C,$B44,qPL_Fact!$A:$A,L$3)</f>
        <v/>
      </c>
      <c r="M44" s="38">
        <f>SUMIFS(qPL_Fact!$D:$D,qPL_Fact!$C:$C,$B44,qPL_Fact!$A:$A,M$3)</f>
        <v/>
      </c>
      <c r="N44" s="38">
        <f>SUMIFS(qPL_Fact!$D:$D,qPL_Fact!$C:$C,$B44,qPL_Fact!$A:$A,N$3)</f>
        <v/>
      </c>
      <c r="O44" s="38">
        <f>SUM(C44:N44)</f>
        <v/>
      </c>
    </row>
    <row r="45">
      <c r="A45" s="8" t="inlineStr">
        <is>
          <t>6141</t>
        </is>
      </c>
      <c r="B45" s="10" t="inlineStr">
        <is>
          <t>Painting</t>
        </is>
      </c>
      <c r="C45" s="37">
        <f>SUMIFS(qPL_Fact!$D:$D,qPL_Fact!$C:$C,$B45,qPL_Fact!$A:$A,C$3)</f>
        <v/>
      </c>
      <c r="D45" s="37">
        <f>SUMIFS(qPL_Fact!$D:$D,qPL_Fact!$C:$C,$B45,qPL_Fact!$A:$A,D$3)</f>
        <v/>
      </c>
      <c r="E45" s="37">
        <f>SUMIFS(qPL_Fact!$D:$D,qPL_Fact!$C:$C,$B45,qPL_Fact!$A:$A,E$3)</f>
        <v/>
      </c>
      <c r="F45" s="37">
        <f>SUMIFS(qPL_Fact!$D:$D,qPL_Fact!$C:$C,$B45,qPL_Fact!$A:$A,F$3)</f>
        <v/>
      </c>
      <c r="G45" s="37">
        <f>SUMIFS(qPL_Fact!$D:$D,qPL_Fact!$C:$C,$B45,qPL_Fact!$A:$A,G$3)</f>
        <v/>
      </c>
      <c r="H45" s="37">
        <f>SUMIFS(qPL_Fact!$D:$D,qPL_Fact!$C:$C,$B45,qPL_Fact!$A:$A,H$3)</f>
        <v/>
      </c>
      <c r="I45" s="37">
        <f>SUMIFS(qPL_Fact!$D:$D,qPL_Fact!$C:$C,$B45,qPL_Fact!$A:$A,I$3)</f>
        <v/>
      </c>
      <c r="J45" s="37">
        <f>SUMIFS(qPL_Fact!$D:$D,qPL_Fact!$C:$C,$B45,qPL_Fact!$A:$A,J$3)</f>
        <v/>
      </c>
      <c r="K45" s="37">
        <f>SUMIFS(qPL_Fact!$D:$D,qPL_Fact!$C:$C,$B45,qPL_Fact!$A:$A,K$3)</f>
        <v/>
      </c>
      <c r="L45" s="37">
        <f>SUMIFS(qPL_Fact!$D:$D,qPL_Fact!$C:$C,$B45,qPL_Fact!$A:$A,L$3)</f>
        <v/>
      </c>
      <c r="M45" s="37">
        <f>SUMIFS(qPL_Fact!$D:$D,qPL_Fact!$C:$C,$B45,qPL_Fact!$A:$A,M$3)</f>
        <v/>
      </c>
      <c r="N45" s="37">
        <f>SUMIFS(qPL_Fact!$D:$D,qPL_Fact!$C:$C,$B45,qPL_Fact!$A:$A,N$3)</f>
        <v/>
      </c>
      <c r="O45" s="37">
        <f>SUM(C45:N45)</f>
        <v/>
      </c>
    </row>
    <row r="46">
      <c r="A46" s="11" t="inlineStr">
        <is>
          <t>6142</t>
        </is>
      </c>
      <c r="B46" s="12" t="inlineStr">
        <is>
          <t>Plumbing</t>
        </is>
      </c>
      <c r="C46" s="38">
        <f>SUMIFS(qPL_Fact!$D:$D,qPL_Fact!$C:$C,$B46,qPL_Fact!$A:$A,C$3)</f>
        <v/>
      </c>
      <c r="D46" s="38">
        <f>SUMIFS(qPL_Fact!$D:$D,qPL_Fact!$C:$C,$B46,qPL_Fact!$A:$A,D$3)</f>
        <v/>
      </c>
      <c r="E46" s="38">
        <f>SUMIFS(qPL_Fact!$D:$D,qPL_Fact!$C:$C,$B46,qPL_Fact!$A:$A,E$3)</f>
        <v/>
      </c>
      <c r="F46" s="38">
        <f>SUMIFS(qPL_Fact!$D:$D,qPL_Fact!$C:$C,$B46,qPL_Fact!$A:$A,F$3)</f>
        <v/>
      </c>
      <c r="G46" s="38">
        <f>SUMIFS(qPL_Fact!$D:$D,qPL_Fact!$C:$C,$B46,qPL_Fact!$A:$A,G$3)</f>
        <v/>
      </c>
      <c r="H46" s="38">
        <f>SUMIFS(qPL_Fact!$D:$D,qPL_Fact!$C:$C,$B46,qPL_Fact!$A:$A,H$3)</f>
        <v/>
      </c>
      <c r="I46" s="38">
        <f>SUMIFS(qPL_Fact!$D:$D,qPL_Fact!$C:$C,$B46,qPL_Fact!$A:$A,I$3)</f>
        <v/>
      </c>
      <c r="J46" s="38">
        <f>SUMIFS(qPL_Fact!$D:$D,qPL_Fact!$C:$C,$B46,qPL_Fact!$A:$A,J$3)</f>
        <v/>
      </c>
      <c r="K46" s="38">
        <f>SUMIFS(qPL_Fact!$D:$D,qPL_Fact!$C:$C,$B46,qPL_Fact!$A:$A,K$3)</f>
        <v/>
      </c>
      <c r="L46" s="38">
        <f>SUMIFS(qPL_Fact!$D:$D,qPL_Fact!$C:$C,$B46,qPL_Fact!$A:$A,L$3)</f>
        <v/>
      </c>
      <c r="M46" s="38">
        <f>SUMIFS(qPL_Fact!$D:$D,qPL_Fact!$C:$C,$B46,qPL_Fact!$A:$A,M$3)</f>
        <v/>
      </c>
      <c r="N46" s="38">
        <f>SUMIFS(qPL_Fact!$D:$D,qPL_Fact!$C:$C,$B46,qPL_Fact!$A:$A,N$3)</f>
        <v/>
      </c>
      <c r="O46" s="38">
        <f>SUM(C46:N46)</f>
        <v/>
      </c>
    </row>
    <row r="47">
      <c r="A47" s="8" t="inlineStr">
        <is>
          <t>6143</t>
        </is>
      </c>
      <c r="B47" s="10" t="inlineStr">
        <is>
          <t>Flooring</t>
        </is>
      </c>
      <c r="C47" s="37">
        <f>SUMIFS(qPL_Fact!$D:$D,qPL_Fact!$C:$C,$B47,qPL_Fact!$A:$A,C$3)</f>
        <v/>
      </c>
      <c r="D47" s="37">
        <f>SUMIFS(qPL_Fact!$D:$D,qPL_Fact!$C:$C,$B47,qPL_Fact!$A:$A,D$3)</f>
        <v/>
      </c>
      <c r="E47" s="37">
        <f>SUMIFS(qPL_Fact!$D:$D,qPL_Fact!$C:$C,$B47,qPL_Fact!$A:$A,E$3)</f>
        <v/>
      </c>
      <c r="F47" s="37">
        <f>SUMIFS(qPL_Fact!$D:$D,qPL_Fact!$C:$C,$B47,qPL_Fact!$A:$A,F$3)</f>
        <v/>
      </c>
      <c r="G47" s="37">
        <f>SUMIFS(qPL_Fact!$D:$D,qPL_Fact!$C:$C,$B47,qPL_Fact!$A:$A,G$3)</f>
        <v/>
      </c>
      <c r="H47" s="37">
        <f>SUMIFS(qPL_Fact!$D:$D,qPL_Fact!$C:$C,$B47,qPL_Fact!$A:$A,H$3)</f>
        <v/>
      </c>
      <c r="I47" s="37">
        <f>SUMIFS(qPL_Fact!$D:$D,qPL_Fact!$C:$C,$B47,qPL_Fact!$A:$A,I$3)</f>
        <v/>
      </c>
      <c r="J47" s="37">
        <f>SUMIFS(qPL_Fact!$D:$D,qPL_Fact!$C:$C,$B47,qPL_Fact!$A:$A,J$3)</f>
        <v/>
      </c>
      <c r="K47" s="37">
        <f>SUMIFS(qPL_Fact!$D:$D,qPL_Fact!$C:$C,$B47,qPL_Fact!$A:$A,K$3)</f>
        <v/>
      </c>
      <c r="L47" s="37">
        <f>SUMIFS(qPL_Fact!$D:$D,qPL_Fact!$C:$C,$B47,qPL_Fact!$A:$A,L$3)</f>
        <v/>
      </c>
      <c r="M47" s="37">
        <f>SUMIFS(qPL_Fact!$D:$D,qPL_Fact!$C:$C,$B47,qPL_Fact!$A:$A,M$3)</f>
        <v/>
      </c>
      <c r="N47" s="37">
        <f>SUMIFS(qPL_Fact!$D:$D,qPL_Fact!$C:$C,$B47,qPL_Fact!$A:$A,N$3)</f>
        <v/>
      </c>
      <c r="O47" s="37">
        <f>SUM(C47:N47)</f>
        <v/>
      </c>
    </row>
    <row r="48">
      <c r="A48" s="11" t="inlineStr">
        <is>
          <t>6144</t>
        </is>
      </c>
      <c r="B48" s="12" t="inlineStr">
        <is>
          <t>HVAC</t>
        </is>
      </c>
      <c r="C48" s="38">
        <f>SUMIFS(qPL_Fact!$D:$D,qPL_Fact!$C:$C,$B48,qPL_Fact!$A:$A,C$3)</f>
        <v/>
      </c>
      <c r="D48" s="38">
        <f>SUMIFS(qPL_Fact!$D:$D,qPL_Fact!$C:$C,$B48,qPL_Fact!$A:$A,D$3)</f>
        <v/>
      </c>
      <c r="E48" s="38">
        <f>SUMIFS(qPL_Fact!$D:$D,qPL_Fact!$C:$C,$B48,qPL_Fact!$A:$A,E$3)</f>
        <v/>
      </c>
      <c r="F48" s="38">
        <f>SUMIFS(qPL_Fact!$D:$D,qPL_Fact!$C:$C,$B48,qPL_Fact!$A:$A,F$3)</f>
        <v/>
      </c>
      <c r="G48" s="38">
        <f>SUMIFS(qPL_Fact!$D:$D,qPL_Fact!$C:$C,$B48,qPL_Fact!$A:$A,G$3)</f>
        <v/>
      </c>
      <c r="H48" s="38">
        <f>SUMIFS(qPL_Fact!$D:$D,qPL_Fact!$C:$C,$B48,qPL_Fact!$A:$A,H$3)</f>
        <v/>
      </c>
      <c r="I48" s="38">
        <f>SUMIFS(qPL_Fact!$D:$D,qPL_Fact!$C:$C,$B48,qPL_Fact!$A:$A,I$3)</f>
        <v/>
      </c>
      <c r="J48" s="38">
        <f>SUMIFS(qPL_Fact!$D:$D,qPL_Fact!$C:$C,$B48,qPL_Fact!$A:$A,J$3)</f>
        <v/>
      </c>
      <c r="K48" s="38">
        <f>SUMIFS(qPL_Fact!$D:$D,qPL_Fact!$C:$C,$B48,qPL_Fact!$A:$A,K$3)</f>
        <v/>
      </c>
      <c r="L48" s="38">
        <f>SUMIFS(qPL_Fact!$D:$D,qPL_Fact!$C:$C,$B48,qPL_Fact!$A:$A,L$3)</f>
        <v/>
      </c>
      <c r="M48" s="38">
        <f>SUMIFS(qPL_Fact!$D:$D,qPL_Fact!$C:$C,$B48,qPL_Fact!$A:$A,M$3)</f>
        <v/>
      </c>
      <c r="N48" s="38">
        <f>SUMIFS(qPL_Fact!$D:$D,qPL_Fact!$C:$C,$B48,qPL_Fact!$A:$A,N$3)</f>
        <v/>
      </c>
      <c r="O48" s="38">
        <f>SUM(C48:N48)</f>
        <v/>
      </c>
    </row>
    <row r="49">
      <c r="A49" s="8" t="inlineStr">
        <is>
          <t>6145</t>
        </is>
      </c>
      <c r="B49" s="10" t="inlineStr">
        <is>
          <t>Key/Lock</t>
        </is>
      </c>
      <c r="C49" s="37">
        <f>SUMIFS(qPL_Fact!$D:$D,qPL_Fact!$C:$C,$B49,qPL_Fact!$A:$A,C$3)</f>
        <v/>
      </c>
      <c r="D49" s="37">
        <f>SUMIFS(qPL_Fact!$D:$D,qPL_Fact!$C:$C,$B49,qPL_Fact!$A:$A,D$3)</f>
        <v/>
      </c>
      <c r="E49" s="37">
        <f>SUMIFS(qPL_Fact!$D:$D,qPL_Fact!$C:$C,$B49,qPL_Fact!$A:$A,E$3)</f>
        <v/>
      </c>
      <c r="F49" s="37">
        <f>SUMIFS(qPL_Fact!$D:$D,qPL_Fact!$C:$C,$B49,qPL_Fact!$A:$A,F$3)</f>
        <v/>
      </c>
      <c r="G49" s="37">
        <f>SUMIFS(qPL_Fact!$D:$D,qPL_Fact!$C:$C,$B49,qPL_Fact!$A:$A,G$3)</f>
        <v/>
      </c>
      <c r="H49" s="37">
        <f>SUMIFS(qPL_Fact!$D:$D,qPL_Fact!$C:$C,$B49,qPL_Fact!$A:$A,H$3)</f>
        <v/>
      </c>
      <c r="I49" s="37">
        <f>SUMIFS(qPL_Fact!$D:$D,qPL_Fact!$C:$C,$B49,qPL_Fact!$A:$A,I$3)</f>
        <v/>
      </c>
      <c r="J49" s="37">
        <f>SUMIFS(qPL_Fact!$D:$D,qPL_Fact!$C:$C,$B49,qPL_Fact!$A:$A,J$3)</f>
        <v/>
      </c>
      <c r="K49" s="37">
        <f>SUMIFS(qPL_Fact!$D:$D,qPL_Fact!$C:$C,$B49,qPL_Fact!$A:$A,K$3)</f>
        <v/>
      </c>
      <c r="L49" s="37">
        <f>SUMIFS(qPL_Fact!$D:$D,qPL_Fact!$C:$C,$B49,qPL_Fact!$A:$A,L$3)</f>
        <v/>
      </c>
      <c r="M49" s="37">
        <f>SUMIFS(qPL_Fact!$D:$D,qPL_Fact!$C:$C,$B49,qPL_Fact!$A:$A,M$3)</f>
        <v/>
      </c>
      <c r="N49" s="37">
        <f>SUMIFS(qPL_Fact!$D:$D,qPL_Fact!$C:$C,$B49,qPL_Fact!$A:$A,N$3)</f>
        <v/>
      </c>
      <c r="O49" s="37">
        <f>SUM(C49:N49)</f>
        <v/>
      </c>
    </row>
    <row r="50">
      <c r="A50" s="11" t="inlineStr">
        <is>
          <t>6147</t>
        </is>
      </c>
      <c r="B50" s="12" t="inlineStr">
        <is>
          <t>Repairs - Other</t>
        </is>
      </c>
      <c r="C50" s="38">
        <f>SUMIFS(qPL_Fact!$D:$D,qPL_Fact!$C:$C,$B50,qPL_Fact!$A:$A,C$3)</f>
        <v/>
      </c>
      <c r="D50" s="38">
        <f>SUMIFS(qPL_Fact!$D:$D,qPL_Fact!$C:$C,$B50,qPL_Fact!$A:$A,D$3)</f>
        <v/>
      </c>
      <c r="E50" s="38">
        <f>SUMIFS(qPL_Fact!$D:$D,qPL_Fact!$C:$C,$B50,qPL_Fact!$A:$A,E$3)</f>
        <v/>
      </c>
      <c r="F50" s="38">
        <f>SUMIFS(qPL_Fact!$D:$D,qPL_Fact!$C:$C,$B50,qPL_Fact!$A:$A,F$3)</f>
        <v/>
      </c>
      <c r="G50" s="38">
        <f>SUMIFS(qPL_Fact!$D:$D,qPL_Fact!$C:$C,$B50,qPL_Fact!$A:$A,G$3)</f>
        <v/>
      </c>
      <c r="H50" s="38">
        <f>SUMIFS(qPL_Fact!$D:$D,qPL_Fact!$C:$C,$B50,qPL_Fact!$A:$A,H$3)</f>
        <v/>
      </c>
      <c r="I50" s="38">
        <f>SUMIFS(qPL_Fact!$D:$D,qPL_Fact!$C:$C,$B50,qPL_Fact!$A:$A,I$3)</f>
        <v/>
      </c>
      <c r="J50" s="38">
        <f>SUMIFS(qPL_Fact!$D:$D,qPL_Fact!$C:$C,$B50,qPL_Fact!$A:$A,J$3)</f>
        <v/>
      </c>
      <c r="K50" s="38">
        <f>SUMIFS(qPL_Fact!$D:$D,qPL_Fact!$C:$C,$B50,qPL_Fact!$A:$A,K$3)</f>
        <v/>
      </c>
      <c r="L50" s="38">
        <f>SUMIFS(qPL_Fact!$D:$D,qPL_Fact!$C:$C,$B50,qPL_Fact!$A:$A,L$3)</f>
        <v/>
      </c>
      <c r="M50" s="38">
        <f>SUMIFS(qPL_Fact!$D:$D,qPL_Fact!$C:$C,$B50,qPL_Fact!$A:$A,M$3)</f>
        <v/>
      </c>
      <c r="N50" s="38">
        <f>SUMIFS(qPL_Fact!$D:$D,qPL_Fact!$C:$C,$B50,qPL_Fact!$A:$A,N$3)</f>
        <v/>
      </c>
      <c r="O50" s="38">
        <f>SUM(C50:N50)</f>
        <v/>
      </c>
    </row>
    <row r="51">
      <c r="A51" s="8" t="inlineStr">
        <is>
          <t>6150</t>
        </is>
      </c>
      <c r="B51" s="10" t="inlineStr">
        <is>
          <t>Supplies</t>
        </is>
      </c>
      <c r="C51" s="37">
        <f>SUMIFS(qPL_Fact!$D:$D,qPL_Fact!$C:$C,$B51,qPL_Fact!$A:$A,C$3)</f>
        <v/>
      </c>
      <c r="D51" s="37">
        <f>SUMIFS(qPL_Fact!$D:$D,qPL_Fact!$C:$C,$B51,qPL_Fact!$A:$A,D$3)</f>
        <v/>
      </c>
      <c r="E51" s="37">
        <f>SUMIFS(qPL_Fact!$D:$D,qPL_Fact!$C:$C,$B51,qPL_Fact!$A:$A,E$3)</f>
        <v/>
      </c>
      <c r="F51" s="37">
        <f>SUMIFS(qPL_Fact!$D:$D,qPL_Fact!$C:$C,$B51,qPL_Fact!$A:$A,F$3)</f>
        <v/>
      </c>
      <c r="G51" s="37">
        <f>SUMIFS(qPL_Fact!$D:$D,qPL_Fact!$C:$C,$B51,qPL_Fact!$A:$A,G$3)</f>
        <v/>
      </c>
      <c r="H51" s="37">
        <f>SUMIFS(qPL_Fact!$D:$D,qPL_Fact!$C:$C,$B51,qPL_Fact!$A:$A,H$3)</f>
        <v/>
      </c>
      <c r="I51" s="37">
        <f>SUMIFS(qPL_Fact!$D:$D,qPL_Fact!$C:$C,$B51,qPL_Fact!$A:$A,I$3)</f>
        <v/>
      </c>
      <c r="J51" s="37">
        <f>SUMIFS(qPL_Fact!$D:$D,qPL_Fact!$C:$C,$B51,qPL_Fact!$A:$A,J$3)</f>
        <v/>
      </c>
      <c r="K51" s="37">
        <f>SUMIFS(qPL_Fact!$D:$D,qPL_Fact!$C:$C,$B51,qPL_Fact!$A:$A,K$3)</f>
        <v/>
      </c>
      <c r="L51" s="37">
        <f>SUMIFS(qPL_Fact!$D:$D,qPL_Fact!$C:$C,$B51,qPL_Fact!$A:$A,L$3)</f>
        <v/>
      </c>
      <c r="M51" s="37">
        <f>SUMIFS(qPL_Fact!$D:$D,qPL_Fact!$C:$C,$B51,qPL_Fact!$A:$A,M$3)</f>
        <v/>
      </c>
      <c r="N51" s="37">
        <f>SUMIFS(qPL_Fact!$D:$D,qPL_Fact!$C:$C,$B51,qPL_Fact!$A:$A,N$3)</f>
        <v/>
      </c>
      <c r="O51" s="37">
        <f>SUM(C51:N51)</f>
        <v/>
      </c>
    </row>
    <row r="52">
      <c r="A52" s="11" t="inlineStr">
        <is>
          <t>6101</t>
        </is>
      </c>
      <c r="B52" s="12" t="inlineStr">
        <is>
          <t>Legal</t>
        </is>
      </c>
      <c r="C52" s="38">
        <f>SUMIFS(qPL_Fact!$D:$D,qPL_Fact!$C:$C,$B52,qPL_Fact!$A:$A,C$3)</f>
        <v/>
      </c>
      <c r="D52" s="38">
        <f>SUMIFS(qPL_Fact!$D:$D,qPL_Fact!$C:$C,$B52,qPL_Fact!$A:$A,D$3)</f>
        <v/>
      </c>
      <c r="E52" s="38">
        <f>SUMIFS(qPL_Fact!$D:$D,qPL_Fact!$C:$C,$B52,qPL_Fact!$A:$A,E$3)</f>
        <v/>
      </c>
      <c r="F52" s="38">
        <f>SUMIFS(qPL_Fact!$D:$D,qPL_Fact!$C:$C,$B52,qPL_Fact!$A:$A,F$3)</f>
        <v/>
      </c>
      <c r="G52" s="38">
        <f>SUMIFS(qPL_Fact!$D:$D,qPL_Fact!$C:$C,$B52,qPL_Fact!$A:$A,G$3)</f>
        <v/>
      </c>
      <c r="H52" s="38">
        <f>SUMIFS(qPL_Fact!$D:$D,qPL_Fact!$C:$C,$B52,qPL_Fact!$A:$A,H$3)</f>
        <v/>
      </c>
      <c r="I52" s="38">
        <f>SUMIFS(qPL_Fact!$D:$D,qPL_Fact!$C:$C,$B52,qPL_Fact!$A:$A,I$3)</f>
        <v/>
      </c>
      <c r="J52" s="38">
        <f>SUMIFS(qPL_Fact!$D:$D,qPL_Fact!$C:$C,$B52,qPL_Fact!$A:$A,J$3)</f>
        <v/>
      </c>
      <c r="K52" s="38">
        <f>SUMIFS(qPL_Fact!$D:$D,qPL_Fact!$C:$C,$B52,qPL_Fact!$A:$A,K$3)</f>
        <v/>
      </c>
      <c r="L52" s="38">
        <f>SUMIFS(qPL_Fact!$D:$D,qPL_Fact!$C:$C,$B52,qPL_Fact!$A:$A,L$3)</f>
        <v/>
      </c>
      <c r="M52" s="38">
        <f>SUMIFS(qPL_Fact!$D:$D,qPL_Fact!$C:$C,$B52,qPL_Fact!$A:$A,M$3)</f>
        <v/>
      </c>
      <c r="N52" s="38">
        <f>SUMIFS(qPL_Fact!$D:$D,qPL_Fact!$C:$C,$B52,qPL_Fact!$A:$A,N$3)</f>
        <v/>
      </c>
      <c r="O52" s="38">
        <f>SUM(C52:N52)</f>
        <v/>
      </c>
    </row>
    <row r="53">
      <c r="A53" s="8" t="inlineStr">
        <is>
          <t>6102</t>
        </is>
      </c>
      <c r="B53" s="10" t="inlineStr">
        <is>
          <t>Accounting</t>
        </is>
      </c>
      <c r="C53" s="37">
        <f>SUMIFS(qPL_Fact!$D:$D,qPL_Fact!$C:$C,$B53,qPL_Fact!$A:$A,C$3)</f>
        <v/>
      </c>
      <c r="D53" s="37">
        <f>SUMIFS(qPL_Fact!$D:$D,qPL_Fact!$C:$C,$B53,qPL_Fact!$A:$A,D$3)</f>
        <v/>
      </c>
      <c r="E53" s="37">
        <f>SUMIFS(qPL_Fact!$D:$D,qPL_Fact!$C:$C,$B53,qPL_Fact!$A:$A,E$3)</f>
        <v/>
      </c>
      <c r="F53" s="37">
        <f>SUMIFS(qPL_Fact!$D:$D,qPL_Fact!$C:$C,$B53,qPL_Fact!$A:$A,F$3)</f>
        <v/>
      </c>
      <c r="G53" s="37">
        <f>SUMIFS(qPL_Fact!$D:$D,qPL_Fact!$C:$C,$B53,qPL_Fact!$A:$A,G$3)</f>
        <v/>
      </c>
      <c r="H53" s="37">
        <f>SUMIFS(qPL_Fact!$D:$D,qPL_Fact!$C:$C,$B53,qPL_Fact!$A:$A,H$3)</f>
        <v/>
      </c>
      <c r="I53" s="37">
        <f>SUMIFS(qPL_Fact!$D:$D,qPL_Fact!$C:$C,$B53,qPL_Fact!$A:$A,I$3)</f>
        <v/>
      </c>
      <c r="J53" s="37">
        <f>SUMIFS(qPL_Fact!$D:$D,qPL_Fact!$C:$C,$B53,qPL_Fact!$A:$A,J$3)</f>
        <v/>
      </c>
      <c r="K53" s="37">
        <f>SUMIFS(qPL_Fact!$D:$D,qPL_Fact!$C:$C,$B53,qPL_Fact!$A:$A,K$3)</f>
        <v/>
      </c>
      <c r="L53" s="37">
        <f>SUMIFS(qPL_Fact!$D:$D,qPL_Fact!$C:$C,$B53,qPL_Fact!$A:$A,L$3)</f>
        <v/>
      </c>
      <c r="M53" s="37">
        <f>SUMIFS(qPL_Fact!$D:$D,qPL_Fact!$C:$C,$B53,qPL_Fact!$A:$A,M$3)</f>
        <v/>
      </c>
      <c r="N53" s="37">
        <f>SUMIFS(qPL_Fact!$D:$D,qPL_Fact!$C:$C,$B53,qPL_Fact!$A:$A,N$3)</f>
        <v/>
      </c>
      <c r="O53" s="37">
        <f>SUM(C53:N53)</f>
        <v/>
      </c>
    </row>
    <row r="54">
      <c r="A54" s="11" t="inlineStr">
        <is>
          <t>6103</t>
        </is>
      </c>
      <c r="B54" s="12" t="inlineStr">
        <is>
          <t>Professional - Other</t>
        </is>
      </c>
      <c r="C54" s="38">
        <f>SUMIFS(qPL_Fact!$D:$D,qPL_Fact!$C:$C,$B54,qPL_Fact!$A:$A,C$3)</f>
        <v/>
      </c>
      <c r="D54" s="38">
        <f>SUMIFS(qPL_Fact!$D:$D,qPL_Fact!$C:$C,$B54,qPL_Fact!$A:$A,D$3)</f>
        <v/>
      </c>
      <c r="E54" s="38">
        <f>SUMIFS(qPL_Fact!$D:$D,qPL_Fact!$C:$C,$B54,qPL_Fact!$A:$A,E$3)</f>
        <v/>
      </c>
      <c r="F54" s="38">
        <f>SUMIFS(qPL_Fact!$D:$D,qPL_Fact!$C:$C,$B54,qPL_Fact!$A:$A,F$3)</f>
        <v/>
      </c>
      <c r="G54" s="38">
        <f>SUMIFS(qPL_Fact!$D:$D,qPL_Fact!$C:$C,$B54,qPL_Fact!$A:$A,G$3)</f>
        <v/>
      </c>
      <c r="H54" s="38">
        <f>SUMIFS(qPL_Fact!$D:$D,qPL_Fact!$C:$C,$B54,qPL_Fact!$A:$A,H$3)</f>
        <v/>
      </c>
      <c r="I54" s="38">
        <f>SUMIFS(qPL_Fact!$D:$D,qPL_Fact!$C:$C,$B54,qPL_Fact!$A:$A,I$3)</f>
        <v/>
      </c>
      <c r="J54" s="38">
        <f>SUMIFS(qPL_Fact!$D:$D,qPL_Fact!$C:$C,$B54,qPL_Fact!$A:$A,J$3)</f>
        <v/>
      </c>
      <c r="K54" s="38">
        <f>SUMIFS(qPL_Fact!$D:$D,qPL_Fact!$C:$C,$B54,qPL_Fact!$A:$A,K$3)</f>
        <v/>
      </c>
      <c r="L54" s="38">
        <f>SUMIFS(qPL_Fact!$D:$D,qPL_Fact!$C:$C,$B54,qPL_Fact!$A:$A,L$3)</f>
        <v/>
      </c>
      <c r="M54" s="38">
        <f>SUMIFS(qPL_Fact!$D:$D,qPL_Fact!$C:$C,$B54,qPL_Fact!$A:$A,M$3)</f>
        <v/>
      </c>
      <c r="N54" s="38">
        <f>SUMIFS(qPL_Fact!$D:$D,qPL_Fact!$C:$C,$B54,qPL_Fact!$A:$A,N$3)</f>
        <v/>
      </c>
      <c r="O54" s="38">
        <f>SUM(C54:N54)</f>
        <v/>
      </c>
    </row>
    <row r="55">
      <c r="A55" s="8" t="inlineStr">
        <is>
          <t>6105</t>
        </is>
      </c>
      <c r="B55" s="10" t="inlineStr">
        <is>
          <t>Security Service</t>
        </is>
      </c>
      <c r="C55" s="37">
        <f>SUMIFS(qPL_Fact!$D:$D,qPL_Fact!$C:$C,$B55,qPL_Fact!$A:$A,C$3)</f>
        <v/>
      </c>
      <c r="D55" s="37">
        <f>SUMIFS(qPL_Fact!$D:$D,qPL_Fact!$C:$C,$B55,qPL_Fact!$A:$A,D$3)</f>
        <v/>
      </c>
      <c r="E55" s="37">
        <f>SUMIFS(qPL_Fact!$D:$D,qPL_Fact!$C:$C,$B55,qPL_Fact!$A:$A,E$3)</f>
        <v/>
      </c>
      <c r="F55" s="37">
        <f>SUMIFS(qPL_Fact!$D:$D,qPL_Fact!$C:$C,$B55,qPL_Fact!$A:$A,F$3)</f>
        <v/>
      </c>
      <c r="G55" s="37">
        <f>SUMIFS(qPL_Fact!$D:$D,qPL_Fact!$C:$C,$B55,qPL_Fact!$A:$A,G$3)</f>
        <v/>
      </c>
      <c r="H55" s="37">
        <f>SUMIFS(qPL_Fact!$D:$D,qPL_Fact!$C:$C,$B55,qPL_Fact!$A:$A,H$3)</f>
        <v/>
      </c>
      <c r="I55" s="37">
        <f>SUMIFS(qPL_Fact!$D:$D,qPL_Fact!$C:$C,$B55,qPL_Fact!$A:$A,I$3)</f>
        <v/>
      </c>
      <c r="J55" s="37">
        <f>SUMIFS(qPL_Fact!$D:$D,qPL_Fact!$C:$C,$B55,qPL_Fact!$A:$A,J$3)</f>
        <v/>
      </c>
      <c r="K55" s="37">
        <f>SUMIFS(qPL_Fact!$D:$D,qPL_Fact!$C:$C,$B55,qPL_Fact!$A:$A,K$3)</f>
        <v/>
      </c>
      <c r="L55" s="37">
        <f>SUMIFS(qPL_Fact!$D:$D,qPL_Fact!$C:$C,$B55,qPL_Fact!$A:$A,L$3)</f>
        <v/>
      </c>
      <c r="M55" s="37">
        <f>SUMIFS(qPL_Fact!$D:$D,qPL_Fact!$C:$C,$B55,qPL_Fact!$A:$A,M$3)</f>
        <v/>
      </c>
      <c r="N55" s="37">
        <f>SUMIFS(qPL_Fact!$D:$D,qPL_Fact!$C:$C,$B55,qPL_Fact!$A:$A,N$3)</f>
        <v/>
      </c>
      <c r="O55" s="37">
        <f>SUM(C55:N55)</f>
        <v/>
      </c>
    </row>
    <row r="56">
      <c r="A56" s="11" t="inlineStr">
        <is>
          <t>6106</t>
        </is>
      </c>
      <c r="B56" s="12" t="inlineStr">
        <is>
          <t>Bank Fees</t>
        </is>
      </c>
      <c r="C56" s="38">
        <f>SUMIFS(qPL_Fact!$D:$D,qPL_Fact!$C:$C,$B56,qPL_Fact!$A:$A,C$3)</f>
        <v/>
      </c>
      <c r="D56" s="38">
        <f>SUMIFS(qPL_Fact!$D:$D,qPL_Fact!$C:$C,$B56,qPL_Fact!$A:$A,D$3)</f>
        <v/>
      </c>
      <c r="E56" s="38">
        <f>SUMIFS(qPL_Fact!$D:$D,qPL_Fact!$C:$C,$B56,qPL_Fact!$A:$A,E$3)</f>
        <v/>
      </c>
      <c r="F56" s="38">
        <f>SUMIFS(qPL_Fact!$D:$D,qPL_Fact!$C:$C,$B56,qPL_Fact!$A:$A,F$3)</f>
        <v/>
      </c>
      <c r="G56" s="38">
        <f>SUMIFS(qPL_Fact!$D:$D,qPL_Fact!$C:$C,$B56,qPL_Fact!$A:$A,G$3)</f>
        <v/>
      </c>
      <c r="H56" s="38">
        <f>SUMIFS(qPL_Fact!$D:$D,qPL_Fact!$C:$C,$B56,qPL_Fact!$A:$A,H$3)</f>
        <v/>
      </c>
      <c r="I56" s="38">
        <f>SUMIFS(qPL_Fact!$D:$D,qPL_Fact!$C:$C,$B56,qPL_Fact!$A:$A,I$3)</f>
        <v/>
      </c>
      <c r="J56" s="38">
        <f>SUMIFS(qPL_Fact!$D:$D,qPL_Fact!$C:$C,$B56,qPL_Fact!$A:$A,J$3)</f>
        <v/>
      </c>
      <c r="K56" s="38">
        <f>SUMIFS(qPL_Fact!$D:$D,qPL_Fact!$C:$C,$B56,qPL_Fact!$A:$A,K$3)</f>
        <v/>
      </c>
      <c r="L56" s="38">
        <f>SUMIFS(qPL_Fact!$D:$D,qPL_Fact!$C:$C,$B56,qPL_Fact!$A:$A,L$3)</f>
        <v/>
      </c>
      <c r="M56" s="38">
        <f>SUMIFS(qPL_Fact!$D:$D,qPL_Fact!$C:$C,$B56,qPL_Fact!$A:$A,M$3)</f>
        <v/>
      </c>
      <c r="N56" s="38">
        <f>SUMIFS(qPL_Fact!$D:$D,qPL_Fact!$C:$C,$B56,qPL_Fact!$A:$A,N$3)</f>
        <v/>
      </c>
      <c r="O56" s="38">
        <f>SUM(C56:N56)</f>
        <v/>
      </c>
    </row>
    <row r="57">
      <c r="A57" s="8" t="inlineStr">
        <is>
          <t>6107</t>
        </is>
      </c>
      <c r="B57" s="10" t="inlineStr">
        <is>
          <t>Travel</t>
        </is>
      </c>
      <c r="C57" s="37">
        <f>SUMIFS(qPL_Fact!$D:$D,qPL_Fact!$C:$C,$B57,qPL_Fact!$A:$A,C$3)</f>
        <v/>
      </c>
      <c r="D57" s="37">
        <f>SUMIFS(qPL_Fact!$D:$D,qPL_Fact!$C:$C,$B57,qPL_Fact!$A:$A,D$3)</f>
        <v/>
      </c>
      <c r="E57" s="37">
        <f>SUMIFS(qPL_Fact!$D:$D,qPL_Fact!$C:$C,$B57,qPL_Fact!$A:$A,E$3)</f>
        <v/>
      </c>
      <c r="F57" s="37">
        <f>SUMIFS(qPL_Fact!$D:$D,qPL_Fact!$C:$C,$B57,qPL_Fact!$A:$A,F$3)</f>
        <v/>
      </c>
      <c r="G57" s="37">
        <f>SUMIFS(qPL_Fact!$D:$D,qPL_Fact!$C:$C,$B57,qPL_Fact!$A:$A,G$3)</f>
        <v/>
      </c>
      <c r="H57" s="37">
        <f>SUMIFS(qPL_Fact!$D:$D,qPL_Fact!$C:$C,$B57,qPL_Fact!$A:$A,H$3)</f>
        <v/>
      </c>
      <c r="I57" s="37">
        <f>SUMIFS(qPL_Fact!$D:$D,qPL_Fact!$C:$C,$B57,qPL_Fact!$A:$A,I$3)</f>
        <v/>
      </c>
      <c r="J57" s="37">
        <f>SUMIFS(qPL_Fact!$D:$D,qPL_Fact!$C:$C,$B57,qPL_Fact!$A:$A,J$3)</f>
        <v/>
      </c>
      <c r="K57" s="37">
        <f>SUMIFS(qPL_Fact!$D:$D,qPL_Fact!$C:$C,$B57,qPL_Fact!$A:$A,K$3)</f>
        <v/>
      </c>
      <c r="L57" s="37">
        <f>SUMIFS(qPL_Fact!$D:$D,qPL_Fact!$C:$C,$B57,qPL_Fact!$A:$A,L$3)</f>
        <v/>
      </c>
      <c r="M57" s="37">
        <f>SUMIFS(qPL_Fact!$D:$D,qPL_Fact!$C:$C,$B57,qPL_Fact!$A:$A,M$3)</f>
        <v/>
      </c>
      <c r="N57" s="37">
        <f>SUMIFS(qPL_Fact!$D:$D,qPL_Fact!$C:$C,$B57,qPL_Fact!$A:$A,N$3)</f>
        <v/>
      </c>
      <c r="O57" s="37">
        <f>SUM(C57:N57)</f>
        <v/>
      </c>
    </row>
    <row r="58">
      <c r="A58" s="11" t="inlineStr">
        <is>
          <t>6108</t>
        </is>
      </c>
      <c r="B58" s="12" t="inlineStr">
        <is>
          <t>Meals</t>
        </is>
      </c>
      <c r="C58" s="38">
        <f>SUMIFS(qPL_Fact!$D:$D,qPL_Fact!$C:$C,$B58,qPL_Fact!$A:$A,C$3)</f>
        <v/>
      </c>
      <c r="D58" s="38">
        <f>SUMIFS(qPL_Fact!$D:$D,qPL_Fact!$C:$C,$B58,qPL_Fact!$A:$A,D$3)</f>
        <v/>
      </c>
      <c r="E58" s="38">
        <f>SUMIFS(qPL_Fact!$D:$D,qPL_Fact!$C:$C,$B58,qPL_Fact!$A:$A,E$3)</f>
        <v/>
      </c>
      <c r="F58" s="38">
        <f>SUMIFS(qPL_Fact!$D:$D,qPL_Fact!$C:$C,$B58,qPL_Fact!$A:$A,F$3)</f>
        <v/>
      </c>
      <c r="G58" s="38">
        <f>SUMIFS(qPL_Fact!$D:$D,qPL_Fact!$C:$C,$B58,qPL_Fact!$A:$A,G$3)</f>
        <v/>
      </c>
      <c r="H58" s="38">
        <f>SUMIFS(qPL_Fact!$D:$D,qPL_Fact!$C:$C,$B58,qPL_Fact!$A:$A,H$3)</f>
        <v/>
      </c>
      <c r="I58" s="38">
        <f>SUMIFS(qPL_Fact!$D:$D,qPL_Fact!$C:$C,$B58,qPL_Fact!$A:$A,I$3)</f>
        <v/>
      </c>
      <c r="J58" s="38">
        <f>SUMIFS(qPL_Fact!$D:$D,qPL_Fact!$C:$C,$B58,qPL_Fact!$A:$A,J$3)</f>
        <v/>
      </c>
      <c r="K58" s="38">
        <f>SUMIFS(qPL_Fact!$D:$D,qPL_Fact!$C:$C,$B58,qPL_Fact!$A:$A,K$3)</f>
        <v/>
      </c>
      <c r="L58" s="38">
        <f>SUMIFS(qPL_Fact!$D:$D,qPL_Fact!$C:$C,$B58,qPL_Fact!$A:$A,L$3)</f>
        <v/>
      </c>
      <c r="M58" s="38">
        <f>SUMIFS(qPL_Fact!$D:$D,qPL_Fact!$C:$C,$B58,qPL_Fact!$A:$A,M$3)</f>
        <v/>
      </c>
      <c r="N58" s="38">
        <f>SUMIFS(qPL_Fact!$D:$D,qPL_Fact!$C:$C,$B58,qPL_Fact!$A:$A,N$3)</f>
        <v/>
      </c>
      <c r="O58" s="38">
        <f>SUM(C58:N58)</f>
        <v/>
      </c>
    </row>
    <row r="59">
      <c r="A59" s="8" t="inlineStr">
        <is>
          <t>6179</t>
        </is>
      </c>
      <c r="B59" s="10" t="inlineStr">
        <is>
          <t>Asset Mgmt Fee</t>
        </is>
      </c>
      <c r="C59" s="37">
        <f>SUMIFS(qPL_Fact!$D:$D,qPL_Fact!$C:$C,$B59,qPL_Fact!$A:$A,C$3)</f>
        <v/>
      </c>
      <c r="D59" s="37">
        <f>SUMIFS(qPL_Fact!$D:$D,qPL_Fact!$C:$C,$B59,qPL_Fact!$A:$A,D$3)</f>
        <v/>
      </c>
      <c r="E59" s="37">
        <f>SUMIFS(qPL_Fact!$D:$D,qPL_Fact!$C:$C,$B59,qPL_Fact!$A:$A,E$3)</f>
        <v/>
      </c>
      <c r="F59" s="37">
        <f>SUMIFS(qPL_Fact!$D:$D,qPL_Fact!$C:$C,$B59,qPL_Fact!$A:$A,F$3)</f>
        <v/>
      </c>
      <c r="G59" s="37">
        <f>SUMIFS(qPL_Fact!$D:$D,qPL_Fact!$C:$C,$B59,qPL_Fact!$A:$A,G$3)</f>
        <v/>
      </c>
      <c r="H59" s="37">
        <f>SUMIFS(qPL_Fact!$D:$D,qPL_Fact!$C:$C,$B59,qPL_Fact!$A:$A,H$3)</f>
        <v/>
      </c>
      <c r="I59" s="37">
        <f>SUMIFS(qPL_Fact!$D:$D,qPL_Fact!$C:$C,$B59,qPL_Fact!$A:$A,I$3)</f>
        <v/>
      </c>
      <c r="J59" s="37">
        <f>SUMIFS(qPL_Fact!$D:$D,qPL_Fact!$C:$C,$B59,qPL_Fact!$A:$A,J$3)</f>
        <v/>
      </c>
      <c r="K59" s="37">
        <f>SUMIFS(qPL_Fact!$D:$D,qPL_Fact!$C:$C,$B59,qPL_Fact!$A:$A,K$3)</f>
        <v/>
      </c>
      <c r="L59" s="37">
        <f>SUMIFS(qPL_Fact!$D:$D,qPL_Fact!$C:$C,$B59,qPL_Fact!$A:$A,L$3)</f>
        <v/>
      </c>
      <c r="M59" s="37">
        <f>SUMIFS(qPL_Fact!$D:$D,qPL_Fact!$C:$C,$B59,qPL_Fact!$A:$A,M$3)</f>
        <v/>
      </c>
      <c r="N59" s="37">
        <f>SUMIFS(qPL_Fact!$D:$D,qPL_Fact!$C:$C,$B59,qPL_Fact!$A:$A,N$3)</f>
        <v/>
      </c>
      <c r="O59" s="37">
        <f>SUM(C59:N59)</f>
        <v/>
      </c>
    </row>
    <row r="60">
      <c r="A60" s="39" t="n"/>
      <c r="B60" s="40" t="inlineStr">
        <is>
          <t>Total Operating Expenses</t>
        </is>
      </c>
      <c r="C60" s="41">
        <f>SUMIFS(qPL_Fact!$D:$D,qPL_Fact!$C:$C,$B60,qPL_Fact!$A:$A,C$3)</f>
        <v/>
      </c>
      <c r="D60" s="41">
        <f>SUMIFS(qPL_Fact!$D:$D,qPL_Fact!$C:$C,$B60,qPL_Fact!$A:$A,D$3)</f>
        <v/>
      </c>
      <c r="E60" s="41">
        <f>SUMIFS(qPL_Fact!$D:$D,qPL_Fact!$C:$C,$B60,qPL_Fact!$A:$A,E$3)</f>
        <v/>
      </c>
      <c r="F60" s="41">
        <f>SUMIFS(qPL_Fact!$D:$D,qPL_Fact!$C:$C,$B60,qPL_Fact!$A:$A,F$3)</f>
        <v/>
      </c>
      <c r="G60" s="41">
        <f>SUMIFS(qPL_Fact!$D:$D,qPL_Fact!$C:$C,$B60,qPL_Fact!$A:$A,G$3)</f>
        <v/>
      </c>
      <c r="H60" s="41">
        <f>SUMIFS(qPL_Fact!$D:$D,qPL_Fact!$C:$C,$B60,qPL_Fact!$A:$A,H$3)</f>
        <v/>
      </c>
      <c r="I60" s="41">
        <f>SUMIFS(qPL_Fact!$D:$D,qPL_Fact!$C:$C,$B60,qPL_Fact!$A:$A,I$3)</f>
        <v/>
      </c>
      <c r="J60" s="41">
        <f>SUMIFS(qPL_Fact!$D:$D,qPL_Fact!$C:$C,$B60,qPL_Fact!$A:$A,J$3)</f>
        <v/>
      </c>
      <c r="K60" s="41">
        <f>SUMIFS(qPL_Fact!$D:$D,qPL_Fact!$C:$C,$B60,qPL_Fact!$A:$A,K$3)</f>
        <v/>
      </c>
      <c r="L60" s="41">
        <f>SUMIFS(qPL_Fact!$D:$D,qPL_Fact!$C:$C,$B60,qPL_Fact!$A:$A,L$3)</f>
        <v/>
      </c>
      <c r="M60" s="41">
        <f>SUMIFS(qPL_Fact!$D:$D,qPL_Fact!$C:$C,$B60,qPL_Fact!$A:$A,M$3)</f>
        <v/>
      </c>
      <c r="N60" s="41">
        <f>SUMIFS(qPL_Fact!$D:$D,qPL_Fact!$C:$C,$B60,qPL_Fact!$A:$A,N$3)</f>
        <v/>
      </c>
      <c r="O60" s="41">
        <f>SUM(C60:N60)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</row>
    <row r="62">
      <c r="A62" s="42" t="n"/>
      <c r="B62" s="43" t="inlineStr">
        <is>
          <t>NET OPERATING INCOME (NOI)</t>
        </is>
      </c>
      <c r="C62" s="44">
        <f>SUMIFS(qPL_Fact!$D:$D,qPL_Fact!$C:$C,$B62,qPL_Fact!$A:$A,C$3)</f>
        <v/>
      </c>
      <c r="D62" s="44">
        <f>SUMIFS(qPL_Fact!$D:$D,qPL_Fact!$C:$C,$B62,qPL_Fact!$A:$A,D$3)</f>
        <v/>
      </c>
      <c r="E62" s="44">
        <f>SUMIFS(qPL_Fact!$D:$D,qPL_Fact!$C:$C,$B62,qPL_Fact!$A:$A,E$3)</f>
        <v/>
      </c>
      <c r="F62" s="44">
        <f>SUMIFS(qPL_Fact!$D:$D,qPL_Fact!$C:$C,$B62,qPL_Fact!$A:$A,F$3)</f>
        <v/>
      </c>
      <c r="G62" s="44">
        <f>SUMIFS(qPL_Fact!$D:$D,qPL_Fact!$C:$C,$B62,qPL_Fact!$A:$A,G$3)</f>
        <v/>
      </c>
      <c r="H62" s="44">
        <f>SUMIFS(qPL_Fact!$D:$D,qPL_Fact!$C:$C,$B62,qPL_Fact!$A:$A,H$3)</f>
        <v/>
      </c>
      <c r="I62" s="44">
        <f>SUMIFS(qPL_Fact!$D:$D,qPL_Fact!$C:$C,$B62,qPL_Fact!$A:$A,I$3)</f>
        <v/>
      </c>
      <c r="J62" s="44">
        <f>SUMIFS(qPL_Fact!$D:$D,qPL_Fact!$C:$C,$B62,qPL_Fact!$A:$A,J$3)</f>
        <v/>
      </c>
      <c r="K62" s="44">
        <f>SUMIFS(qPL_Fact!$D:$D,qPL_Fact!$C:$C,$B62,qPL_Fact!$A:$A,K$3)</f>
        <v/>
      </c>
      <c r="L62" s="44">
        <f>SUMIFS(qPL_Fact!$D:$D,qPL_Fact!$C:$C,$B62,qPL_Fact!$A:$A,L$3)</f>
        <v/>
      </c>
      <c r="M62" s="44">
        <f>SUMIFS(qPL_Fact!$D:$D,qPL_Fact!$C:$C,$B62,qPL_Fact!$A:$A,M$3)</f>
        <v/>
      </c>
      <c r="N62" s="44">
        <f>SUMIFS(qPL_Fact!$D:$D,qPL_Fact!$C:$C,$B62,qPL_Fact!$A:$A,N$3)</f>
        <v/>
      </c>
      <c r="O62" s="44">
        <f>SUM(C62:N62)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</row>
    <row r="64" ht="20" customHeight="1">
      <c r="A64" s="6" t="n"/>
      <c r="B64" s="6" t="inlineStr">
        <is>
          <t>DEBT SERVICE</t>
        </is>
      </c>
      <c r="C64" s="36">
        <f>SUMIFS(qPL_Fact!$D:$D,qPL_Fact!$C:$C,$B64,qPL_Fact!$A:$A,C$3)</f>
        <v/>
      </c>
      <c r="D64" s="36">
        <f>SUMIFS(qPL_Fact!$D:$D,qPL_Fact!$C:$C,$B64,qPL_Fact!$A:$A,D$3)</f>
        <v/>
      </c>
      <c r="E64" s="36">
        <f>SUMIFS(qPL_Fact!$D:$D,qPL_Fact!$C:$C,$B64,qPL_Fact!$A:$A,E$3)</f>
        <v/>
      </c>
      <c r="F64" s="36">
        <f>SUMIFS(qPL_Fact!$D:$D,qPL_Fact!$C:$C,$B64,qPL_Fact!$A:$A,F$3)</f>
        <v/>
      </c>
      <c r="G64" s="36">
        <f>SUMIFS(qPL_Fact!$D:$D,qPL_Fact!$C:$C,$B64,qPL_Fact!$A:$A,G$3)</f>
        <v/>
      </c>
      <c r="H64" s="36">
        <f>SUMIFS(qPL_Fact!$D:$D,qPL_Fact!$C:$C,$B64,qPL_Fact!$A:$A,H$3)</f>
        <v/>
      </c>
      <c r="I64" s="36">
        <f>SUMIFS(qPL_Fact!$D:$D,qPL_Fact!$C:$C,$B64,qPL_Fact!$A:$A,I$3)</f>
        <v/>
      </c>
      <c r="J64" s="36">
        <f>SUMIFS(qPL_Fact!$D:$D,qPL_Fact!$C:$C,$B64,qPL_Fact!$A:$A,J$3)</f>
        <v/>
      </c>
      <c r="K64" s="36">
        <f>SUMIFS(qPL_Fact!$D:$D,qPL_Fact!$C:$C,$B64,qPL_Fact!$A:$A,K$3)</f>
        <v/>
      </c>
      <c r="L64" s="36">
        <f>SUMIFS(qPL_Fact!$D:$D,qPL_Fact!$C:$C,$B64,qPL_Fact!$A:$A,L$3)</f>
        <v/>
      </c>
      <c r="M64" s="36">
        <f>SUMIFS(qPL_Fact!$D:$D,qPL_Fact!$C:$C,$B64,qPL_Fact!$A:$A,M$3)</f>
        <v/>
      </c>
      <c r="N64" s="36">
        <f>SUMIFS(qPL_Fact!$D:$D,qPL_Fact!$C:$C,$B64,qPL_Fact!$A:$A,N$3)</f>
        <v/>
      </c>
      <c r="O64" s="36">
        <f>SUM(C64:N64)</f>
        <v/>
      </c>
    </row>
    <row r="65">
      <c r="A65" s="8" t="inlineStr">
        <is>
          <t>6119</t>
        </is>
      </c>
      <c r="B65" s="10" t="inlineStr">
        <is>
          <t>Principal</t>
        </is>
      </c>
      <c r="C65" s="37">
        <f>SUMIFS(qPL_Fact!$D:$D,qPL_Fact!$C:$C,$B65,qPL_Fact!$A:$A,C$3)</f>
        <v/>
      </c>
      <c r="D65" s="37">
        <f>SUMIFS(qPL_Fact!$D:$D,qPL_Fact!$C:$C,$B65,qPL_Fact!$A:$A,D$3)</f>
        <v/>
      </c>
      <c r="E65" s="37">
        <f>SUMIFS(qPL_Fact!$D:$D,qPL_Fact!$C:$C,$B65,qPL_Fact!$A:$A,E$3)</f>
        <v/>
      </c>
      <c r="F65" s="37">
        <f>SUMIFS(qPL_Fact!$D:$D,qPL_Fact!$C:$C,$B65,qPL_Fact!$A:$A,F$3)</f>
        <v/>
      </c>
      <c r="G65" s="37">
        <f>SUMIFS(qPL_Fact!$D:$D,qPL_Fact!$C:$C,$B65,qPL_Fact!$A:$A,G$3)</f>
        <v/>
      </c>
      <c r="H65" s="37">
        <f>SUMIFS(qPL_Fact!$D:$D,qPL_Fact!$C:$C,$B65,qPL_Fact!$A:$A,H$3)</f>
        <v/>
      </c>
      <c r="I65" s="37">
        <f>SUMIFS(qPL_Fact!$D:$D,qPL_Fact!$C:$C,$B65,qPL_Fact!$A:$A,I$3)</f>
        <v/>
      </c>
      <c r="J65" s="37">
        <f>SUMIFS(qPL_Fact!$D:$D,qPL_Fact!$C:$C,$B65,qPL_Fact!$A:$A,J$3)</f>
        <v/>
      </c>
      <c r="K65" s="37">
        <f>SUMIFS(qPL_Fact!$D:$D,qPL_Fact!$C:$C,$B65,qPL_Fact!$A:$A,K$3)</f>
        <v/>
      </c>
      <c r="L65" s="37">
        <f>SUMIFS(qPL_Fact!$D:$D,qPL_Fact!$C:$C,$B65,qPL_Fact!$A:$A,L$3)</f>
        <v/>
      </c>
      <c r="M65" s="37">
        <f>SUMIFS(qPL_Fact!$D:$D,qPL_Fact!$C:$C,$B65,qPL_Fact!$A:$A,M$3)</f>
        <v/>
      </c>
      <c r="N65" s="37">
        <f>SUMIFS(qPL_Fact!$D:$D,qPL_Fact!$C:$C,$B65,qPL_Fact!$A:$A,N$3)</f>
        <v/>
      </c>
      <c r="O65" s="37">
        <f>SUM(C65:N65)</f>
        <v/>
      </c>
    </row>
    <row r="66">
      <c r="A66" s="11" t="inlineStr">
        <is>
          <t>6121</t>
        </is>
      </c>
      <c r="B66" s="12" t="inlineStr">
        <is>
          <t>Interest</t>
        </is>
      </c>
      <c r="C66" s="38">
        <f>SUMIFS(qPL_Fact!$D:$D,qPL_Fact!$C:$C,$B66,qPL_Fact!$A:$A,C$3)</f>
        <v/>
      </c>
      <c r="D66" s="38">
        <f>SUMIFS(qPL_Fact!$D:$D,qPL_Fact!$C:$C,$B66,qPL_Fact!$A:$A,D$3)</f>
        <v/>
      </c>
      <c r="E66" s="38">
        <f>SUMIFS(qPL_Fact!$D:$D,qPL_Fact!$C:$C,$B66,qPL_Fact!$A:$A,E$3)</f>
        <v/>
      </c>
      <c r="F66" s="38">
        <f>SUMIFS(qPL_Fact!$D:$D,qPL_Fact!$C:$C,$B66,qPL_Fact!$A:$A,F$3)</f>
        <v/>
      </c>
      <c r="G66" s="38">
        <f>SUMIFS(qPL_Fact!$D:$D,qPL_Fact!$C:$C,$B66,qPL_Fact!$A:$A,G$3)</f>
        <v/>
      </c>
      <c r="H66" s="38">
        <f>SUMIFS(qPL_Fact!$D:$D,qPL_Fact!$C:$C,$B66,qPL_Fact!$A:$A,H$3)</f>
        <v/>
      </c>
      <c r="I66" s="38">
        <f>SUMIFS(qPL_Fact!$D:$D,qPL_Fact!$C:$C,$B66,qPL_Fact!$A:$A,I$3)</f>
        <v/>
      </c>
      <c r="J66" s="38">
        <f>SUMIFS(qPL_Fact!$D:$D,qPL_Fact!$C:$C,$B66,qPL_Fact!$A:$A,J$3)</f>
        <v/>
      </c>
      <c r="K66" s="38">
        <f>SUMIFS(qPL_Fact!$D:$D,qPL_Fact!$C:$C,$B66,qPL_Fact!$A:$A,K$3)</f>
        <v/>
      </c>
      <c r="L66" s="38">
        <f>SUMIFS(qPL_Fact!$D:$D,qPL_Fact!$C:$C,$B66,qPL_Fact!$A:$A,L$3)</f>
        <v/>
      </c>
      <c r="M66" s="38">
        <f>SUMIFS(qPL_Fact!$D:$D,qPL_Fact!$C:$C,$B66,qPL_Fact!$A:$A,M$3)</f>
        <v/>
      </c>
      <c r="N66" s="38">
        <f>SUMIFS(qPL_Fact!$D:$D,qPL_Fact!$C:$C,$B66,qPL_Fact!$A:$A,N$3)</f>
        <v/>
      </c>
      <c r="O66" s="38">
        <f>SUM(C66:N66)</f>
        <v/>
      </c>
    </row>
    <row r="67">
      <c r="A67" s="39" t="n"/>
      <c r="B67" s="40" t="inlineStr">
        <is>
          <t>Total Debt Service</t>
        </is>
      </c>
      <c r="C67" s="41">
        <f>SUMIFS(qPL_Fact!$D:$D,qPL_Fact!$C:$C,$B67,qPL_Fact!$A:$A,C$3)</f>
        <v/>
      </c>
      <c r="D67" s="41">
        <f>SUMIFS(qPL_Fact!$D:$D,qPL_Fact!$C:$C,$B67,qPL_Fact!$A:$A,D$3)</f>
        <v/>
      </c>
      <c r="E67" s="41">
        <f>SUMIFS(qPL_Fact!$D:$D,qPL_Fact!$C:$C,$B67,qPL_Fact!$A:$A,E$3)</f>
        <v/>
      </c>
      <c r="F67" s="41">
        <f>SUMIFS(qPL_Fact!$D:$D,qPL_Fact!$C:$C,$B67,qPL_Fact!$A:$A,F$3)</f>
        <v/>
      </c>
      <c r="G67" s="41">
        <f>SUMIFS(qPL_Fact!$D:$D,qPL_Fact!$C:$C,$B67,qPL_Fact!$A:$A,G$3)</f>
        <v/>
      </c>
      <c r="H67" s="41">
        <f>SUMIFS(qPL_Fact!$D:$D,qPL_Fact!$C:$C,$B67,qPL_Fact!$A:$A,H$3)</f>
        <v/>
      </c>
      <c r="I67" s="41">
        <f>SUMIFS(qPL_Fact!$D:$D,qPL_Fact!$C:$C,$B67,qPL_Fact!$A:$A,I$3)</f>
        <v/>
      </c>
      <c r="J67" s="41">
        <f>SUMIFS(qPL_Fact!$D:$D,qPL_Fact!$C:$C,$B67,qPL_Fact!$A:$A,J$3)</f>
        <v/>
      </c>
      <c r="K67" s="41">
        <f>SUMIFS(qPL_Fact!$D:$D,qPL_Fact!$C:$C,$B67,qPL_Fact!$A:$A,K$3)</f>
        <v/>
      </c>
      <c r="L67" s="41">
        <f>SUMIFS(qPL_Fact!$D:$D,qPL_Fact!$C:$C,$B67,qPL_Fact!$A:$A,L$3)</f>
        <v/>
      </c>
      <c r="M67" s="41">
        <f>SUMIFS(qPL_Fact!$D:$D,qPL_Fact!$C:$C,$B67,qPL_Fact!$A:$A,M$3)</f>
        <v/>
      </c>
      <c r="N67" s="41">
        <f>SUMIFS(qPL_Fact!$D:$D,qPL_Fact!$C:$C,$B67,qPL_Fact!$A:$A,N$3)</f>
        <v/>
      </c>
      <c r="O67" s="41">
        <f>SUM(C67:N67)</f>
        <v/>
      </c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</row>
    <row r="69">
      <c r="A69" s="42" t="n"/>
      <c r="B69" s="43" t="inlineStr">
        <is>
          <t>CASH FLOW AFTER DEBT SERVICE</t>
        </is>
      </c>
      <c r="C69" s="44">
        <f>SUMIFS(qPL_Fact!$D:$D,qPL_Fact!$C:$C,$B69,qPL_Fact!$A:$A,C$3)</f>
        <v/>
      </c>
      <c r="D69" s="44">
        <f>SUMIFS(qPL_Fact!$D:$D,qPL_Fact!$C:$C,$B69,qPL_Fact!$A:$A,D$3)</f>
        <v/>
      </c>
      <c r="E69" s="44">
        <f>SUMIFS(qPL_Fact!$D:$D,qPL_Fact!$C:$C,$B69,qPL_Fact!$A:$A,E$3)</f>
        <v/>
      </c>
      <c r="F69" s="44">
        <f>SUMIFS(qPL_Fact!$D:$D,qPL_Fact!$C:$C,$B69,qPL_Fact!$A:$A,F$3)</f>
        <v/>
      </c>
      <c r="G69" s="44">
        <f>SUMIFS(qPL_Fact!$D:$D,qPL_Fact!$C:$C,$B69,qPL_Fact!$A:$A,G$3)</f>
        <v/>
      </c>
      <c r="H69" s="44">
        <f>SUMIFS(qPL_Fact!$D:$D,qPL_Fact!$C:$C,$B69,qPL_Fact!$A:$A,H$3)</f>
        <v/>
      </c>
      <c r="I69" s="44">
        <f>SUMIFS(qPL_Fact!$D:$D,qPL_Fact!$C:$C,$B69,qPL_Fact!$A:$A,I$3)</f>
        <v/>
      </c>
      <c r="J69" s="44">
        <f>SUMIFS(qPL_Fact!$D:$D,qPL_Fact!$C:$C,$B69,qPL_Fact!$A:$A,J$3)</f>
        <v/>
      </c>
      <c r="K69" s="44">
        <f>SUMIFS(qPL_Fact!$D:$D,qPL_Fact!$C:$C,$B69,qPL_Fact!$A:$A,K$3)</f>
        <v/>
      </c>
      <c r="L69" s="44">
        <f>SUMIFS(qPL_Fact!$D:$D,qPL_Fact!$C:$C,$B69,qPL_Fact!$A:$A,L$3)</f>
        <v/>
      </c>
      <c r="M69" s="44">
        <f>SUMIFS(qPL_Fact!$D:$D,qPL_Fact!$C:$C,$B69,qPL_Fact!$A:$A,M$3)</f>
        <v/>
      </c>
      <c r="N69" s="44">
        <f>SUMIFS(qPL_Fact!$D:$D,qPL_Fact!$C:$C,$B69,qPL_Fact!$A:$A,N$3)</f>
        <v/>
      </c>
      <c r="O69" s="44">
        <f>SUM(C69:N69)</f>
        <v/>
      </c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</row>
    <row r="71" ht="20" customHeight="1">
      <c r="A71" s="6" t="n"/>
      <c r="B71" s="6" t="inlineStr">
        <is>
          <t>CAPITAL EXPENDITURES (Below the Line)</t>
        </is>
      </c>
      <c r="C71" s="36">
        <f>SUMIFS(qPL_Fact!$D:$D,qPL_Fact!$C:$C,$B71,qPL_Fact!$A:$A,C$3)</f>
        <v/>
      </c>
      <c r="D71" s="36">
        <f>SUMIFS(qPL_Fact!$D:$D,qPL_Fact!$C:$C,$B71,qPL_Fact!$A:$A,D$3)</f>
        <v/>
      </c>
      <c r="E71" s="36">
        <f>SUMIFS(qPL_Fact!$D:$D,qPL_Fact!$C:$C,$B71,qPL_Fact!$A:$A,E$3)</f>
        <v/>
      </c>
      <c r="F71" s="36">
        <f>SUMIFS(qPL_Fact!$D:$D,qPL_Fact!$C:$C,$B71,qPL_Fact!$A:$A,F$3)</f>
        <v/>
      </c>
      <c r="G71" s="36">
        <f>SUMIFS(qPL_Fact!$D:$D,qPL_Fact!$C:$C,$B71,qPL_Fact!$A:$A,G$3)</f>
        <v/>
      </c>
      <c r="H71" s="36">
        <f>SUMIFS(qPL_Fact!$D:$D,qPL_Fact!$C:$C,$B71,qPL_Fact!$A:$A,H$3)</f>
        <v/>
      </c>
      <c r="I71" s="36">
        <f>SUMIFS(qPL_Fact!$D:$D,qPL_Fact!$C:$C,$B71,qPL_Fact!$A:$A,I$3)</f>
        <v/>
      </c>
      <c r="J71" s="36">
        <f>SUMIFS(qPL_Fact!$D:$D,qPL_Fact!$C:$C,$B71,qPL_Fact!$A:$A,J$3)</f>
        <v/>
      </c>
      <c r="K71" s="36">
        <f>SUMIFS(qPL_Fact!$D:$D,qPL_Fact!$C:$C,$B71,qPL_Fact!$A:$A,K$3)</f>
        <v/>
      </c>
      <c r="L71" s="36">
        <f>SUMIFS(qPL_Fact!$D:$D,qPL_Fact!$C:$C,$B71,qPL_Fact!$A:$A,L$3)</f>
        <v/>
      </c>
      <c r="M71" s="36">
        <f>SUMIFS(qPL_Fact!$D:$D,qPL_Fact!$C:$C,$B71,qPL_Fact!$A:$A,M$3)</f>
        <v/>
      </c>
      <c r="N71" s="36">
        <f>SUMIFS(qPL_Fact!$D:$D,qPL_Fact!$C:$C,$B71,qPL_Fact!$A:$A,N$3)</f>
        <v/>
      </c>
      <c r="O71" s="36">
        <f>SUM(C71:N71)</f>
        <v/>
      </c>
    </row>
    <row r="72">
      <c r="A72" s="11" t="inlineStr">
        <is>
          <t>7010</t>
        </is>
      </c>
      <c r="B72" s="12" t="inlineStr">
        <is>
          <t>Appliances</t>
        </is>
      </c>
      <c r="C72" s="38">
        <f>SUMIFS(qPL_Fact!$D:$D,qPL_Fact!$C:$C,$B72,qPL_Fact!$A:$A,C$3)</f>
        <v/>
      </c>
      <c r="D72" s="38">
        <f>SUMIFS(qPL_Fact!$D:$D,qPL_Fact!$C:$C,$B72,qPL_Fact!$A:$A,D$3)</f>
        <v/>
      </c>
      <c r="E72" s="38">
        <f>SUMIFS(qPL_Fact!$D:$D,qPL_Fact!$C:$C,$B72,qPL_Fact!$A:$A,E$3)</f>
        <v/>
      </c>
      <c r="F72" s="38">
        <f>SUMIFS(qPL_Fact!$D:$D,qPL_Fact!$C:$C,$B72,qPL_Fact!$A:$A,F$3)</f>
        <v/>
      </c>
      <c r="G72" s="38">
        <f>SUMIFS(qPL_Fact!$D:$D,qPL_Fact!$C:$C,$B72,qPL_Fact!$A:$A,G$3)</f>
        <v/>
      </c>
      <c r="H72" s="38">
        <f>SUMIFS(qPL_Fact!$D:$D,qPL_Fact!$C:$C,$B72,qPL_Fact!$A:$A,H$3)</f>
        <v/>
      </c>
      <c r="I72" s="38">
        <f>SUMIFS(qPL_Fact!$D:$D,qPL_Fact!$C:$C,$B72,qPL_Fact!$A:$A,I$3)</f>
        <v/>
      </c>
      <c r="J72" s="38">
        <f>SUMIFS(qPL_Fact!$D:$D,qPL_Fact!$C:$C,$B72,qPL_Fact!$A:$A,J$3)</f>
        <v/>
      </c>
      <c r="K72" s="38">
        <f>SUMIFS(qPL_Fact!$D:$D,qPL_Fact!$C:$C,$B72,qPL_Fact!$A:$A,K$3)</f>
        <v/>
      </c>
      <c r="L72" s="38">
        <f>SUMIFS(qPL_Fact!$D:$D,qPL_Fact!$C:$C,$B72,qPL_Fact!$A:$A,L$3)</f>
        <v/>
      </c>
      <c r="M72" s="38">
        <f>SUMIFS(qPL_Fact!$D:$D,qPL_Fact!$C:$C,$B72,qPL_Fact!$A:$A,M$3)</f>
        <v/>
      </c>
      <c r="N72" s="38">
        <f>SUMIFS(qPL_Fact!$D:$D,qPL_Fact!$C:$C,$B72,qPL_Fact!$A:$A,N$3)</f>
        <v/>
      </c>
      <c r="O72" s="38">
        <f>SUM(C72:N72)</f>
        <v/>
      </c>
    </row>
    <row r="73">
      <c r="A73" s="8" t="inlineStr">
        <is>
          <t>7020</t>
        </is>
      </c>
      <c r="B73" s="10" t="inlineStr">
        <is>
          <t>Equipment/Tools</t>
        </is>
      </c>
      <c r="C73" s="37">
        <f>SUMIFS(qPL_Fact!$D:$D,qPL_Fact!$C:$C,$B73,qPL_Fact!$A:$A,C$3)</f>
        <v/>
      </c>
      <c r="D73" s="37">
        <f>SUMIFS(qPL_Fact!$D:$D,qPL_Fact!$C:$C,$B73,qPL_Fact!$A:$A,D$3)</f>
        <v/>
      </c>
      <c r="E73" s="37">
        <f>SUMIFS(qPL_Fact!$D:$D,qPL_Fact!$C:$C,$B73,qPL_Fact!$A:$A,E$3)</f>
        <v/>
      </c>
      <c r="F73" s="37">
        <f>SUMIFS(qPL_Fact!$D:$D,qPL_Fact!$C:$C,$B73,qPL_Fact!$A:$A,F$3)</f>
        <v/>
      </c>
      <c r="G73" s="37">
        <f>SUMIFS(qPL_Fact!$D:$D,qPL_Fact!$C:$C,$B73,qPL_Fact!$A:$A,G$3)</f>
        <v/>
      </c>
      <c r="H73" s="37">
        <f>SUMIFS(qPL_Fact!$D:$D,qPL_Fact!$C:$C,$B73,qPL_Fact!$A:$A,H$3)</f>
        <v/>
      </c>
      <c r="I73" s="37">
        <f>SUMIFS(qPL_Fact!$D:$D,qPL_Fact!$C:$C,$B73,qPL_Fact!$A:$A,I$3)</f>
        <v/>
      </c>
      <c r="J73" s="37">
        <f>SUMIFS(qPL_Fact!$D:$D,qPL_Fact!$C:$C,$B73,qPL_Fact!$A:$A,J$3)</f>
        <v/>
      </c>
      <c r="K73" s="37">
        <f>SUMIFS(qPL_Fact!$D:$D,qPL_Fact!$C:$C,$B73,qPL_Fact!$A:$A,K$3)</f>
        <v/>
      </c>
      <c r="L73" s="37">
        <f>SUMIFS(qPL_Fact!$D:$D,qPL_Fact!$C:$C,$B73,qPL_Fact!$A:$A,L$3)</f>
        <v/>
      </c>
      <c r="M73" s="37">
        <f>SUMIFS(qPL_Fact!$D:$D,qPL_Fact!$C:$C,$B73,qPL_Fact!$A:$A,M$3)</f>
        <v/>
      </c>
      <c r="N73" s="37">
        <f>SUMIFS(qPL_Fact!$D:$D,qPL_Fact!$C:$C,$B73,qPL_Fact!$A:$A,N$3)</f>
        <v/>
      </c>
      <c r="O73" s="37">
        <f>SUM(C73:N73)</f>
        <v/>
      </c>
    </row>
    <row r="74">
      <c r="A74" s="11" t="inlineStr">
        <is>
          <t>7030</t>
        </is>
      </c>
      <c r="B74" s="12" t="inlineStr">
        <is>
          <t>Remodel</t>
        </is>
      </c>
      <c r="C74" s="38">
        <f>SUMIFS(qPL_Fact!$D:$D,qPL_Fact!$C:$C,$B74,qPL_Fact!$A:$A,C$3)</f>
        <v/>
      </c>
      <c r="D74" s="38">
        <f>SUMIFS(qPL_Fact!$D:$D,qPL_Fact!$C:$C,$B74,qPL_Fact!$A:$A,D$3)</f>
        <v/>
      </c>
      <c r="E74" s="38">
        <f>SUMIFS(qPL_Fact!$D:$D,qPL_Fact!$C:$C,$B74,qPL_Fact!$A:$A,E$3)</f>
        <v/>
      </c>
      <c r="F74" s="38">
        <f>SUMIFS(qPL_Fact!$D:$D,qPL_Fact!$C:$C,$B74,qPL_Fact!$A:$A,F$3)</f>
        <v/>
      </c>
      <c r="G74" s="38">
        <f>SUMIFS(qPL_Fact!$D:$D,qPL_Fact!$C:$C,$B74,qPL_Fact!$A:$A,G$3)</f>
        <v/>
      </c>
      <c r="H74" s="38">
        <f>SUMIFS(qPL_Fact!$D:$D,qPL_Fact!$C:$C,$B74,qPL_Fact!$A:$A,H$3)</f>
        <v/>
      </c>
      <c r="I74" s="38">
        <f>SUMIFS(qPL_Fact!$D:$D,qPL_Fact!$C:$C,$B74,qPL_Fact!$A:$A,I$3)</f>
        <v/>
      </c>
      <c r="J74" s="38">
        <f>SUMIFS(qPL_Fact!$D:$D,qPL_Fact!$C:$C,$B74,qPL_Fact!$A:$A,J$3)</f>
        <v/>
      </c>
      <c r="K74" s="38">
        <f>SUMIFS(qPL_Fact!$D:$D,qPL_Fact!$C:$C,$B74,qPL_Fact!$A:$A,K$3)</f>
        <v/>
      </c>
      <c r="L74" s="38">
        <f>SUMIFS(qPL_Fact!$D:$D,qPL_Fact!$C:$C,$B74,qPL_Fact!$A:$A,L$3)</f>
        <v/>
      </c>
      <c r="M74" s="38">
        <f>SUMIFS(qPL_Fact!$D:$D,qPL_Fact!$C:$C,$B74,qPL_Fact!$A:$A,M$3)</f>
        <v/>
      </c>
      <c r="N74" s="38">
        <f>SUMIFS(qPL_Fact!$D:$D,qPL_Fact!$C:$C,$B74,qPL_Fact!$A:$A,N$3)</f>
        <v/>
      </c>
      <c r="O74" s="38">
        <f>SUM(C74:N74)</f>
        <v/>
      </c>
    </row>
    <row r="75">
      <c r="A75" s="8" t="inlineStr">
        <is>
          <t>7060</t>
        </is>
      </c>
      <c r="B75" s="10" t="inlineStr">
        <is>
          <t>Labor</t>
        </is>
      </c>
      <c r="C75" s="37">
        <f>SUMIFS(qPL_Fact!$D:$D,qPL_Fact!$C:$C,$B75,qPL_Fact!$A:$A,C$3)</f>
        <v/>
      </c>
      <c r="D75" s="37">
        <f>SUMIFS(qPL_Fact!$D:$D,qPL_Fact!$C:$C,$B75,qPL_Fact!$A:$A,D$3)</f>
        <v/>
      </c>
      <c r="E75" s="37">
        <f>SUMIFS(qPL_Fact!$D:$D,qPL_Fact!$C:$C,$B75,qPL_Fact!$A:$A,E$3)</f>
        <v/>
      </c>
      <c r="F75" s="37">
        <f>SUMIFS(qPL_Fact!$D:$D,qPL_Fact!$C:$C,$B75,qPL_Fact!$A:$A,F$3)</f>
        <v/>
      </c>
      <c r="G75" s="37">
        <f>SUMIFS(qPL_Fact!$D:$D,qPL_Fact!$C:$C,$B75,qPL_Fact!$A:$A,G$3)</f>
        <v/>
      </c>
      <c r="H75" s="37">
        <f>SUMIFS(qPL_Fact!$D:$D,qPL_Fact!$C:$C,$B75,qPL_Fact!$A:$A,H$3)</f>
        <v/>
      </c>
      <c r="I75" s="37">
        <f>SUMIFS(qPL_Fact!$D:$D,qPL_Fact!$C:$C,$B75,qPL_Fact!$A:$A,I$3)</f>
        <v/>
      </c>
      <c r="J75" s="37">
        <f>SUMIFS(qPL_Fact!$D:$D,qPL_Fact!$C:$C,$B75,qPL_Fact!$A:$A,J$3)</f>
        <v/>
      </c>
      <c r="K75" s="37">
        <f>SUMIFS(qPL_Fact!$D:$D,qPL_Fact!$C:$C,$B75,qPL_Fact!$A:$A,K$3)</f>
        <v/>
      </c>
      <c r="L75" s="37">
        <f>SUMIFS(qPL_Fact!$D:$D,qPL_Fact!$C:$C,$B75,qPL_Fact!$A:$A,L$3)</f>
        <v/>
      </c>
      <c r="M75" s="37">
        <f>SUMIFS(qPL_Fact!$D:$D,qPL_Fact!$C:$C,$B75,qPL_Fact!$A:$A,M$3)</f>
        <v/>
      </c>
      <c r="N75" s="37">
        <f>SUMIFS(qPL_Fact!$D:$D,qPL_Fact!$C:$C,$B75,qPL_Fact!$A:$A,N$3)</f>
        <v/>
      </c>
      <c r="O75" s="37">
        <f>SUM(C75:N75)</f>
        <v/>
      </c>
    </row>
    <row r="76">
      <c r="A76" s="11" t="inlineStr">
        <is>
          <t>7070</t>
        </is>
      </c>
      <c r="B76" s="12" t="inlineStr">
        <is>
          <t>Flooring</t>
        </is>
      </c>
      <c r="C76" s="38">
        <f>SUMIFS(qPL_Fact!$D:$D,qPL_Fact!$C:$C,$B76,qPL_Fact!$A:$A,C$3)</f>
        <v/>
      </c>
      <c r="D76" s="38">
        <f>SUMIFS(qPL_Fact!$D:$D,qPL_Fact!$C:$C,$B76,qPL_Fact!$A:$A,D$3)</f>
        <v/>
      </c>
      <c r="E76" s="38">
        <f>SUMIFS(qPL_Fact!$D:$D,qPL_Fact!$C:$C,$B76,qPL_Fact!$A:$A,E$3)</f>
        <v/>
      </c>
      <c r="F76" s="38">
        <f>SUMIFS(qPL_Fact!$D:$D,qPL_Fact!$C:$C,$B76,qPL_Fact!$A:$A,F$3)</f>
        <v/>
      </c>
      <c r="G76" s="38">
        <f>SUMIFS(qPL_Fact!$D:$D,qPL_Fact!$C:$C,$B76,qPL_Fact!$A:$A,G$3)</f>
        <v/>
      </c>
      <c r="H76" s="38">
        <f>SUMIFS(qPL_Fact!$D:$D,qPL_Fact!$C:$C,$B76,qPL_Fact!$A:$A,H$3)</f>
        <v/>
      </c>
      <c r="I76" s="38">
        <f>SUMIFS(qPL_Fact!$D:$D,qPL_Fact!$C:$C,$B76,qPL_Fact!$A:$A,I$3)</f>
        <v/>
      </c>
      <c r="J76" s="38">
        <f>SUMIFS(qPL_Fact!$D:$D,qPL_Fact!$C:$C,$B76,qPL_Fact!$A:$A,J$3)</f>
        <v/>
      </c>
      <c r="K76" s="38">
        <f>SUMIFS(qPL_Fact!$D:$D,qPL_Fact!$C:$C,$B76,qPL_Fact!$A:$A,K$3)</f>
        <v/>
      </c>
      <c r="L76" s="38">
        <f>SUMIFS(qPL_Fact!$D:$D,qPL_Fact!$C:$C,$B76,qPL_Fact!$A:$A,L$3)</f>
        <v/>
      </c>
      <c r="M76" s="38">
        <f>SUMIFS(qPL_Fact!$D:$D,qPL_Fact!$C:$C,$B76,qPL_Fact!$A:$A,M$3)</f>
        <v/>
      </c>
      <c r="N76" s="38">
        <f>SUMIFS(qPL_Fact!$D:$D,qPL_Fact!$C:$C,$B76,qPL_Fact!$A:$A,N$3)</f>
        <v/>
      </c>
      <c r="O76" s="38">
        <f>SUM(C76:N76)</f>
        <v/>
      </c>
    </row>
    <row r="77">
      <c r="A77" s="8" t="inlineStr">
        <is>
          <t>7080</t>
        </is>
      </c>
      <c r="B77" s="10" t="inlineStr">
        <is>
          <t>Hardware</t>
        </is>
      </c>
      <c r="C77" s="37">
        <f>SUMIFS(qPL_Fact!$D:$D,qPL_Fact!$C:$C,$B77,qPL_Fact!$A:$A,C$3)</f>
        <v/>
      </c>
      <c r="D77" s="37">
        <f>SUMIFS(qPL_Fact!$D:$D,qPL_Fact!$C:$C,$B77,qPL_Fact!$A:$A,D$3)</f>
        <v/>
      </c>
      <c r="E77" s="37">
        <f>SUMIFS(qPL_Fact!$D:$D,qPL_Fact!$C:$C,$B77,qPL_Fact!$A:$A,E$3)</f>
        <v/>
      </c>
      <c r="F77" s="37">
        <f>SUMIFS(qPL_Fact!$D:$D,qPL_Fact!$C:$C,$B77,qPL_Fact!$A:$A,F$3)</f>
        <v/>
      </c>
      <c r="G77" s="37">
        <f>SUMIFS(qPL_Fact!$D:$D,qPL_Fact!$C:$C,$B77,qPL_Fact!$A:$A,G$3)</f>
        <v/>
      </c>
      <c r="H77" s="37">
        <f>SUMIFS(qPL_Fact!$D:$D,qPL_Fact!$C:$C,$B77,qPL_Fact!$A:$A,H$3)</f>
        <v/>
      </c>
      <c r="I77" s="37">
        <f>SUMIFS(qPL_Fact!$D:$D,qPL_Fact!$C:$C,$B77,qPL_Fact!$A:$A,I$3)</f>
        <v/>
      </c>
      <c r="J77" s="37">
        <f>SUMIFS(qPL_Fact!$D:$D,qPL_Fact!$C:$C,$B77,qPL_Fact!$A:$A,J$3)</f>
        <v/>
      </c>
      <c r="K77" s="37">
        <f>SUMIFS(qPL_Fact!$D:$D,qPL_Fact!$C:$C,$B77,qPL_Fact!$A:$A,K$3)</f>
        <v/>
      </c>
      <c r="L77" s="37">
        <f>SUMIFS(qPL_Fact!$D:$D,qPL_Fact!$C:$C,$B77,qPL_Fact!$A:$A,L$3)</f>
        <v/>
      </c>
      <c r="M77" s="37">
        <f>SUMIFS(qPL_Fact!$D:$D,qPL_Fact!$C:$C,$B77,qPL_Fact!$A:$A,M$3)</f>
        <v/>
      </c>
      <c r="N77" s="37">
        <f>SUMIFS(qPL_Fact!$D:$D,qPL_Fact!$C:$C,$B77,qPL_Fact!$A:$A,N$3)</f>
        <v/>
      </c>
      <c r="O77" s="37">
        <f>SUM(C77:N77)</f>
        <v/>
      </c>
    </row>
    <row r="78">
      <c r="A78" s="11" t="inlineStr">
        <is>
          <t>7090</t>
        </is>
      </c>
      <c r="B78" s="12" t="inlineStr">
        <is>
          <t>Cabinets</t>
        </is>
      </c>
      <c r="C78" s="38">
        <f>SUMIFS(qPL_Fact!$D:$D,qPL_Fact!$C:$C,$B78,qPL_Fact!$A:$A,C$3)</f>
        <v/>
      </c>
      <c r="D78" s="38">
        <f>SUMIFS(qPL_Fact!$D:$D,qPL_Fact!$C:$C,$B78,qPL_Fact!$A:$A,D$3)</f>
        <v/>
      </c>
      <c r="E78" s="38">
        <f>SUMIFS(qPL_Fact!$D:$D,qPL_Fact!$C:$C,$B78,qPL_Fact!$A:$A,E$3)</f>
        <v/>
      </c>
      <c r="F78" s="38">
        <f>SUMIFS(qPL_Fact!$D:$D,qPL_Fact!$C:$C,$B78,qPL_Fact!$A:$A,F$3)</f>
        <v/>
      </c>
      <c r="G78" s="38">
        <f>SUMIFS(qPL_Fact!$D:$D,qPL_Fact!$C:$C,$B78,qPL_Fact!$A:$A,G$3)</f>
        <v/>
      </c>
      <c r="H78" s="38">
        <f>SUMIFS(qPL_Fact!$D:$D,qPL_Fact!$C:$C,$B78,qPL_Fact!$A:$A,H$3)</f>
        <v/>
      </c>
      <c r="I78" s="38">
        <f>SUMIFS(qPL_Fact!$D:$D,qPL_Fact!$C:$C,$B78,qPL_Fact!$A:$A,I$3)</f>
        <v/>
      </c>
      <c r="J78" s="38">
        <f>SUMIFS(qPL_Fact!$D:$D,qPL_Fact!$C:$C,$B78,qPL_Fact!$A:$A,J$3)</f>
        <v/>
      </c>
      <c r="K78" s="38">
        <f>SUMIFS(qPL_Fact!$D:$D,qPL_Fact!$C:$C,$B78,qPL_Fact!$A:$A,K$3)</f>
        <v/>
      </c>
      <c r="L78" s="38">
        <f>SUMIFS(qPL_Fact!$D:$D,qPL_Fact!$C:$C,$B78,qPL_Fact!$A:$A,L$3)</f>
        <v/>
      </c>
      <c r="M78" s="38">
        <f>SUMIFS(qPL_Fact!$D:$D,qPL_Fact!$C:$C,$B78,qPL_Fact!$A:$A,M$3)</f>
        <v/>
      </c>
      <c r="N78" s="38">
        <f>SUMIFS(qPL_Fact!$D:$D,qPL_Fact!$C:$C,$B78,qPL_Fact!$A:$A,N$3)</f>
        <v/>
      </c>
      <c r="O78" s="38">
        <f>SUM(C78:N78)</f>
        <v/>
      </c>
    </row>
    <row r="79">
      <c r="A79" s="8" t="inlineStr">
        <is>
          <t>7100</t>
        </is>
      </c>
      <c r="B79" s="10" t="inlineStr">
        <is>
          <t>Supplies</t>
        </is>
      </c>
      <c r="C79" s="37">
        <f>SUMIFS(qPL_Fact!$D:$D,qPL_Fact!$C:$C,$B79,qPL_Fact!$A:$A,C$3)</f>
        <v/>
      </c>
      <c r="D79" s="37">
        <f>SUMIFS(qPL_Fact!$D:$D,qPL_Fact!$C:$C,$B79,qPL_Fact!$A:$A,D$3)</f>
        <v/>
      </c>
      <c r="E79" s="37">
        <f>SUMIFS(qPL_Fact!$D:$D,qPL_Fact!$C:$C,$B79,qPL_Fact!$A:$A,E$3)</f>
        <v/>
      </c>
      <c r="F79" s="37">
        <f>SUMIFS(qPL_Fact!$D:$D,qPL_Fact!$C:$C,$B79,qPL_Fact!$A:$A,F$3)</f>
        <v/>
      </c>
      <c r="G79" s="37">
        <f>SUMIFS(qPL_Fact!$D:$D,qPL_Fact!$C:$C,$B79,qPL_Fact!$A:$A,G$3)</f>
        <v/>
      </c>
      <c r="H79" s="37">
        <f>SUMIFS(qPL_Fact!$D:$D,qPL_Fact!$C:$C,$B79,qPL_Fact!$A:$A,H$3)</f>
        <v/>
      </c>
      <c r="I79" s="37">
        <f>SUMIFS(qPL_Fact!$D:$D,qPL_Fact!$C:$C,$B79,qPL_Fact!$A:$A,I$3)</f>
        <v/>
      </c>
      <c r="J79" s="37">
        <f>SUMIFS(qPL_Fact!$D:$D,qPL_Fact!$C:$C,$B79,qPL_Fact!$A:$A,J$3)</f>
        <v/>
      </c>
      <c r="K79" s="37">
        <f>SUMIFS(qPL_Fact!$D:$D,qPL_Fact!$C:$C,$B79,qPL_Fact!$A:$A,K$3)</f>
        <v/>
      </c>
      <c r="L79" s="37">
        <f>SUMIFS(qPL_Fact!$D:$D,qPL_Fact!$C:$C,$B79,qPL_Fact!$A:$A,L$3)</f>
        <v/>
      </c>
      <c r="M79" s="37">
        <f>SUMIFS(qPL_Fact!$D:$D,qPL_Fact!$C:$C,$B79,qPL_Fact!$A:$A,M$3)</f>
        <v/>
      </c>
      <c r="N79" s="37">
        <f>SUMIFS(qPL_Fact!$D:$D,qPL_Fact!$C:$C,$B79,qPL_Fact!$A:$A,N$3)</f>
        <v/>
      </c>
      <c r="O79" s="37">
        <f>SUM(C79:N79)</f>
        <v/>
      </c>
    </row>
    <row r="80">
      <c r="A80" s="11" t="inlineStr">
        <is>
          <t>7110</t>
        </is>
      </c>
      <c r="B80" s="12" t="inlineStr">
        <is>
          <t>Paint</t>
        </is>
      </c>
      <c r="C80" s="38">
        <f>SUMIFS(qPL_Fact!$D:$D,qPL_Fact!$C:$C,$B80,qPL_Fact!$A:$A,C$3)</f>
        <v/>
      </c>
      <c r="D80" s="38">
        <f>SUMIFS(qPL_Fact!$D:$D,qPL_Fact!$C:$C,$B80,qPL_Fact!$A:$A,D$3)</f>
        <v/>
      </c>
      <c r="E80" s="38">
        <f>SUMIFS(qPL_Fact!$D:$D,qPL_Fact!$C:$C,$B80,qPL_Fact!$A:$A,E$3)</f>
        <v/>
      </c>
      <c r="F80" s="38">
        <f>SUMIFS(qPL_Fact!$D:$D,qPL_Fact!$C:$C,$B80,qPL_Fact!$A:$A,F$3)</f>
        <v/>
      </c>
      <c r="G80" s="38">
        <f>SUMIFS(qPL_Fact!$D:$D,qPL_Fact!$C:$C,$B80,qPL_Fact!$A:$A,G$3)</f>
        <v/>
      </c>
      <c r="H80" s="38">
        <f>SUMIFS(qPL_Fact!$D:$D,qPL_Fact!$C:$C,$B80,qPL_Fact!$A:$A,H$3)</f>
        <v/>
      </c>
      <c r="I80" s="38">
        <f>SUMIFS(qPL_Fact!$D:$D,qPL_Fact!$C:$C,$B80,qPL_Fact!$A:$A,I$3)</f>
        <v/>
      </c>
      <c r="J80" s="38">
        <f>SUMIFS(qPL_Fact!$D:$D,qPL_Fact!$C:$C,$B80,qPL_Fact!$A:$A,J$3)</f>
        <v/>
      </c>
      <c r="K80" s="38">
        <f>SUMIFS(qPL_Fact!$D:$D,qPL_Fact!$C:$C,$B80,qPL_Fact!$A:$A,K$3)</f>
        <v/>
      </c>
      <c r="L80" s="38">
        <f>SUMIFS(qPL_Fact!$D:$D,qPL_Fact!$C:$C,$B80,qPL_Fact!$A:$A,L$3)</f>
        <v/>
      </c>
      <c r="M80" s="38">
        <f>SUMIFS(qPL_Fact!$D:$D,qPL_Fact!$C:$C,$B80,qPL_Fact!$A:$A,M$3)</f>
        <v/>
      </c>
      <c r="N80" s="38">
        <f>SUMIFS(qPL_Fact!$D:$D,qPL_Fact!$C:$C,$B80,qPL_Fact!$A:$A,N$3)</f>
        <v/>
      </c>
      <c r="O80" s="38">
        <f>SUM(C80:N80)</f>
        <v/>
      </c>
    </row>
    <row r="81">
      <c r="A81" s="39" t="n"/>
      <c r="B81" s="40" t="inlineStr">
        <is>
          <t>Total Capital Expenditures</t>
        </is>
      </c>
      <c r="C81" s="41">
        <f>SUMIFS(qPL_Fact!$D:$D,qPL_Fact!$C:$C,$B81,qPL_Fact!$A:$A,C$3)</f>
        <v/>
      </c>
      <c r="D81" s="41">
        <f>SUMIFS(qPL_Fact!$D:$D,qPL_Fact!$C:$C,$B81,qPL_Fact!$A:$A,D$3)</f>
        <v/>
      </c>
      <c r="E81" s="41">
        <f>SUMIFS(qPL_Fact!$D:$D,qPL_Fact!$C:$C,$B81,qPL_Fact!$A:$A,E$3)</f>
        <v/>
      </c>
      <c r="F81" s="41">
        <f>SUMIFS(qPL_Fact!$D:$D,qPL_Fact!$C:$C,$B81,qPL_Fact!$A:$A,F$3)</f>
        <v/>
      </c>
      <c r="G81" s="41">
        <f>SUMIFS(qPL_Fact!$D:$D,qPL_Fact!$C:$C,$B81,qPL_Fact!$A:$A,G$3)</f>
        <v/>
      </c>
      <c r="H81" s="41">
        <f>SUMIFS(qPL_Fact!$D:$D,qPL_Fact!$C:$C,$B81,qPL_Fact!$A:$A,H$3)</f>
        <v/>
      </c>
      <c r="I81" s="41">
        <f>SUMIFS(qPL_Fact!$D:$D,qPL_Fact!$C:$C,$B81,qPL_Fact!$A:$A,I$3)</f>
        <v/>
      </c>
      <c r="J81" s="41">
        <f>SUMIFS(qPL_Fact!$D:$D,qPL_Fact!$C:$C,$B81,qPL_Fact!$A:$A,J$3)</f>
        <v/>
      </c>
      <c r="K81" s="41">
        <f>SUMIFS(qPL_Fact!$D:$D,qPL_Fact!$C:$C,$B81,qPL_Fact!$A:$A,K$3)</f>
        <v/>
      </c>
      <c r="L81" s="41">
        <f>SUMIFS(qPL_Fact!$D:$D,qPL_Fact!$C:$C,$B81,qPL_Fact!$A:$A,L$3)</f>
        <v/>
      </c>
      <c r="M81" s="41">
        <f>SUMIFS(qPL_Fact!$D:$D,qPL_Fact!$C:$C,$B81,qPL_Fact!$A:$A,M$3)</f>
        <v/>
      </c>
      <c r="N81" s="41">
        <f>SUMIFS(qPL_Fact!$D:$D,qPL_Fact!$C:$C,$B81,qPL_Fact!$A:$A,N$3)</f>
        <v/>
      </c>
      <c r="O81" s="41">
        <f>SUM(C81:N81)</f>
        <v/>
      </c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</row>
    <row r="83">
      <c r="A83" s="42" t="n"/>
      <c r="B83" s="43" t="inlineStr">
        <is>
          <t>NET CASH FLOW</t>
        </is>
      </c>
      <c r="C83" s="44">
        <f>SUMIFS(qPL_Fact!$D:$D,qPL_Fact!$C:$C,$B83,qPL_Fact!$A:$A,C$3)</f>
        <v/>
      </c>
      <c r="D83" s="44">
        <f>SUMIFS(qPL_Fact!$D:$D,qPL_Fact!$C:$C,$B83,qPL_Fact!$A:$A,D$3)</f>
        <v/>
      </c>
      <c r="E83" s="44">
        <f>SUMIFS(qPL_Fact!$D:$D,qPL_Fact!$C:$C,$B83,qPL_Fact!$A:$A,E$3)</f>
        <v/>
      </c>
      <c r="F83" s="44">
        <f>SUMIFS(qPL_Fact!$D:$D,qPL_Fact!$C:$C,$B83,qPL_Fact!$A:$A,F$3)</f>
        <v/>
      </c>
      <c r="G83" s="44">
        <f>SUMIFS(qPL_Fact!$D:$D,qPL_Fact!$C:$C,$B83,qPL_Fact!$A:$A,G$3)</f>
        <v/>
      </c>
      <c r="H83" s="44">
        <f>SUMIFS(qPL_Fact!$D:$D,qPL_Fact!$C:$C,$B83,qPL_Fact!$A:$A,H$3)</f>
        <v/>
      </c>
      <c r="I83" s="44">
        <f>SUMIFS(qPL_Fact!$D:$D,qPL_Fact!$C:$C,$B83,qPL_Fact!$A:$A,I$3)</f>
        <v/>
      </c>
      <c r="J83" s="44">
        <f>SUMIFS(qPL_Fact!$D:$D,qPL_Fact!$C:$C,$B83,qPL_Fact!$A:$A,J$3)</f>
        <v/>
      </c>
      <c r="K83" s="44">
        <f>SUMIFS(qPL_Fact!$D:$D,qPL_Fact!$C:$C,$B83,qPL_Fact!$A:$A,K$3)</f>
        <v/>
      </c>
      <c r="L83" s="44">
        <f>SUMIFS(qPL_Fact!$D:$D,qPL_Fact!$C:$C,$B83,qPL_Fact!$A:$A,L$3)</f>
        <v/>
      </c>
      <c r="M83" s="44">
        <f>SUMIFS(qPL_Fact!$D:$D,qPL_Fact!$C:$C,$B83,qPL_Fact!$A:$A,M$3)</f>
        <v/>
      </c>
      <c r="N83" s="44">
        <f>SUMIFS(qPL_Fact!$D:$D,qPL_Fact!$C:$C,$B83,qPL_Fact!$A:$A,N$3)</f>
        <v/>
      </c>
      <c r="O83" s="44">
        <f>SUM(C83:N83)</f>
        <v/>
      </c>
    </row>
    <row r="84">
      <c r="A84" s="20" t="n"/>
      <c r="B84" s="12" t="inlineStr">
        <is>
          <t>Cash-on-Cash (Ann.)</t>
        </is>
      </c>
      <c r="C84" s="45">
        <f>SUMIFS(qPL_Fact!$D:$D,qPL_Fact!$C:$C,$B84,qPL_Fact!$A:$A,C$3)</f>
        <v/>
      </c>
      <c r="D84" s="45">
        <f>SUMIFS(qPL_Fact!$D:$D,qPL_Fact!$C:$C,$B84,qPL_Fact!$A:$A,D$3)</f>
        <v/>
      </c>
      <c r="E84" s="45">
        <f>SUMIFS(qPL_Fact!$D:$D,qPL_Fact!$C:$C,$B84,qPL_Fact!$A:$A,E$3)</f>
        <v/>
      </c>
      <c r="F84" s="45">
        <f>SUMIFS(qPL_Fact!$D:$D,qPL_Fact!$C:$C,$B84,qPL_Fact!$A:$A,F$3)</f>
        <v/>
      </c>
      <c r="G84" s="45">
        <f>SUMIFS(qPL_Fact!$D:$D,qPL_Fact!$C:$C,$B84,qPL_Fact!$A:$A,G$3)</f>
        <v/>
      </c>
      <c r="H84" s="45">
        <f>SUMIFS(qPL_Fact!$D:$D,qPL_Fact!$C:$C,$B84,qPL_Fact!$A:$A,H$3)</f>
        <v/>
      </c>
      <c r="I84" s="45">
        <f>SUMIFS(qPL_Fact!$D:$D,qPL_Fact!$C:$C,$B84,qPL_Fact!$A:$A,I$3)</f>
        <v/>
      </c>
      <c r="J84" s="45">
        <f>SUMIFS(qPL_Fact!$D:$D,qPL_Fact!$C:$C,$B84,qPL_Fact!$A:$A,J$3)</f>
        <v/>
      </c>
      <c r="K84" s="45">
        <f>SUMIFS(qPL_Fact!$D:$D,qPL_Fact!$C:$C,$B84,qPL_Fact!$A:$A,K$3)</f>
        <v/>
      </c>
      <c r="L84" s="45">
        <f>SUMIFS(qPL_Fact!$D:$D,qPL_Fact!$C:$C,$B84,qPL_Fact!$A:$A,L$3)</f>
        <v/>
      </c>
      <c r="M84" s="45">
        <f>SUMIFS(qPL_Fact!$D:$D,qPL_Fact!$C:$C,$B84,qPL_Fact!$A:$A,M$3)</f>
        <v/>
      </c>
      <c r="N84" s="45">
        <f>SUMIFS(qPL_Fact!$D:$D,qPL_Fact!$C:$C,$B84,qPL_Fact!$A:$A,N$3)</f>
        <v/>
      </c>
      <c r="O84" s="45">
        <f>N84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</row>
    <row r="86" ht="20" customHeight="1">
      <c r="A86" s="6" t="n"/>
      <c r="B86" s="6" t="inlineStr">
        <is>
          <t>KEY METRICS</t>
        </is>
      </c>
      <c r="C86" s="36">
        <f>SUMIFS(qPL_Fact!$D:$D,qPL_Fact!$C:$C,$B86,qPL_Fact!$A:$A,C$3)</f>
        <v/>
      </c>
      <c r="D86" s="36">
        <f>SUMIFS(qPL_Fact!$D:$D,qPL_Fact!$C:$C,$B86,qPL_Fact!$A:$A,D$3)</f>
        <v/>
      </c>
      <c r="E86" s="36">
        <f>SUMIFS(qPL_Fact!$D:$D,qPL_Fact!$C:$C,$B86,qPL_Fact!$A:$A,E$3)</f>
        <v/>
      </c>
      <c r="F86" s="36">
        <f>SUMIFS(qPL_Fact!$D:$D,qPL_Fact!$C:$C,$B86,qPL_Fact!$A:$A,F$3)</f>
        <v/>
      </c>
      <c r="G86" s="36">
        <f>SUMIFS(qPL_Fact!$D:$D,qPL_Fact!$C:$C,$B86,qPL_Fact!$A:$A,G$3)</f>
        <v/>
      </c>
      <c r="H86" s="36">
        <f>SUMIFS(qPL_Fact!$D:$D,qPL_Fact!$C:$C,$B86,qPL_Fact!$A:$A,H$3)</f>
        <v/>
      </c>
      <c r="I86" s="36">
        <f>SUMIFS(qPL_Fact!$D:$D,qPL_Fact!$C:$C,$B86,qPL_Fact!$A:$A,I$3)</f>
        <v/>
      </c>
      <c r="J86" s="36">
        <f>SUMIFS(qPL_Fact!$D:$D,qPL_Fact!$C:$C,$B86,qPL_Fact!$A:$A,J$3)</f>
        <v/>
      </c>
      <c r="K86" s="36">
        <f>SUMIFS(qPL_Fact!$D:$D,qPL_Fact!$C:$C,$B86,qPL_Fact!$A:$A,K$3)</f>
        <v/>
      </c>
      <c r="L86" s="36">
        <f>SUMIFS(qPL_Fact!$D:$D,qPL_Fact!$C:$C,$B86,qPL_Fact!$A:$A,L$3)</f>
        <v/>
      </c>
      <c r="M86" s="36">
        <f>SUMIFS(qPL_Fact!$D:$D,qPL_Fact!$C:$C,$B86,qPL_Fact!$A:$A,M$3)</f>
        <v/>
      </c>
      <c r="N86" s="36">
        <f>SUMIFS(qPL_Fact!$D:$D,qPL_Fact!$C:$C,$B86,qPL_Fact!$A:$A,N$3)</f>
        <v/>
      </c>
      <c r="O86" s="36">
        <f>SUM(C86:N86)</f>
        <v/>
      </c>
    </row>
    <row r="87">
      <c r="A87" s="23" t="n"/>
      <c r="B87" s="10" t="inlineStr">
        <is>
          <t>DSCR</t>
        </is>
      </c>
      <c r="C87" s="46">
        <f>SUMIFS(qPL_Fact!$D:$D,qPL_Fact!$C:$C,$B87,qPL_Fact!$A:$A,C$3)</f>
        <v/>
      </c>
      <c r="D87" s="46">
        <f>SUMIFS(qPL_Fact!$D:$D,qPL_Fact!$C:$C,$B87,qPL_Fact!$A:$A,D$3)</f>
        <v/>
      </c>
      <c r="E87" s="46">
        <f>SUMIFS(qPL_Fact!$D:$D,qPL_Fact!$C:$C,$B87,qPL_Fact!$A:$A,E$3)</f>
        <v/>
      </c>
      <c r="F87" s="46">
        <f>SUMIFS(qPL_Fact!$D:$D,qPL_Fact!$C:$C,$B87,qPL_Fact!$A:$A,F$3)</f>
        <v/>
      </c>
      <c r="G87" s="46">
        <f>SUMIFS(qPL_Fact!$D:$D,qPL_Fact!$C:$C,$B87,qPL_Fact!$A:$A,G$3)</f>
        <v/>
      </c>
      <c r="H87" s="46">
        <f>SUMIFS(qPL_Fact!$D:$D,qPL_Fact!$C:$C,$B87,qPL_Fact!$A:$A,H$3)</f>
        <v/>
      </c>
      <c r="I87" s="46">
        <f>SUMIFS(qPL_Fact!$D:$D,qPL_Fact!$C:$C,$B87,qPL_Fact!$A:$A,I$3)</f>
        <v/>
      </c>
      <c r="J87" s="46">
        <f>SUMIFS(qPL_Fact!$D:$D,qPL_Fact!$C:$C,$B87,qPL_Fact!$A:$A,J$3)</f>
        <v/>
      </c>
      <c r="K87" s="46">
        <f>SUMIFS(qPL_Fact!$D:$D,qPL_Fact!$C:$C,$B87,qPL_Fact!$A:$A,K$3)</f>
        <v/>
      </c>
      <c r="L87" s="46">
        <f>SUMIFS(qPL_Fact!$D:$D,qPL_Fact!$C:$C,$B87,qPL_Fact!$A:$A,L$3)</f>
        <v/>
      </c>
      <c r="M87" s="46">
        <f>SUMIFS(qPL_Fact!$D:$D,qPL_Fact!$C:$C,$B87,qPL_Fact!$A:$A,M$3)</f>
        <v/>
      </c>
      <c r="N87" s="46">
        <f>SUMIFS(qPL_Fact!$D:$D,qPL_Fact!$C:$C,$B87,qPL_Fact!$A:$A,N$3)</f>
        <v/>
      </c>
      <c r="O87" s="46">
        <f>N87</f>
        <v/>
      </c>
    </row>
    <row r="88">
      <c r="A88" s="20" t="n"/>
      <c r="B88" s="12" t="inlineStr">
        <is>
          <t>Cap Rate</t>
        </is>
      </c>
      <c r="C88" s="45">
        <f>SUMIFS(qPL_Fact!$D:$D,qPL_Fact!$C:$C,$B88,qPL_Fact!$A:$A,C$3)</f>
        <v/>
      </c>
      <c r="D88" s="45">
        <f>SUMIFS(qPL_Fact!$D:$D,qPL_Fact!$C:$C,$B88,qPL_Fact!$A:$A,D$3)</f>
        <v/>
      </c>
      <c r="E88" s="45">
        <f>SUMIFS(qPL_Fact!$D:$D,qPL_Fact!$C:$C,$B88,qPL_Fact!$A:$A,E$3)</f>
        <v/>
      </c>
      <c r="F88" s="45">
        <f>SUMIFS(qPL_Fact!$D:$D,qPL_Fact!$C:$C,$B88,qPL_Fact!$A:$A,F$3)</f>
        <v/>
      </c>
      <c r="G88" s="45">
        <f>SUMIFS(qPL_Fact!$D:$D,qPL_Fact!$C:$C,$B88,qPL_Fact!$A:$A,G$3)</f>
        <v/>
      </c>
      <c r="H88" s="45">
        <f>SUMIFS(qPL_Fact!$D:$D,qPL_Fact!$C:$C,$B88,qPL_Fact!$A:$A,H$3)</f>
        <v/>
      </c>
      <c r="I88" s="45">
        <f>SUMIFS(qPL_Fact!$D:$D,qPL_Fact!$C:$C,$B88,qPL_Fact!$A:$A,I$3)</f>
        <v/>
      </c>
      <c r="J88" s="45">
        <f>SUMIFS(qPL_Fact!$D:$D,qPL_Fact!$C:$C,$B88,qPL_Fact!$A:$A,J$3)</f>
        <v/>
      </c>
      <c r="K88" s="45">
        <f>SUMIFS(qPL_Fact!$D:$D,qPL_Fact!$C:$C,$B88,qPL_Fact!$A:$A,K$3)</f>
        <v/>
      </c>
      <c r="L88" s="45">
        <f>SUMIFS(qPL_Fact!$D:$D,qPL_Fact!$C:$C,$B88,qPL_Fact!$A:$A,L$3)</f>
        <v/>
      </c>
      <c r="M88" s="45">
        <f>SUMIFS(qPL_Fact!$D:$D,qPL_Fact!$C:$C,$B88,qPL_Fact!$A:$A,M$3)</f>
        <v/>
      </c>
      <c r="N88" s="45">
        <f>SUMIFS(qPL_Fact!$D:$D,qPL_Fact!$C:$C,$B88,qPL_Fact!$A:$A,N$3)</f>
        <v/>
      </c>
      <c r="O88" s="45">
        <f>N88</f>
        <v/>
      </c>
    </row>
    <row r="89">
      <c r="A89" s="23" t="n"/>
      <c r="B89" s="10" t="inlineStr">
        <is>
          <t>Expense Ratio</t>
        </is>
      </c>
      <c r="C89" s="47">
        <f>SUMIFS(qPL_Fact!$D:$D,qPL_Fact!$C:$C,$B89,qPL_Fact!$A:$A,C$3)</f>
        <v/>
      </c>
      <c r="D89" s="47">
        <f>SUMIFS(qPL_Fact!$D:$D,qPL_Fact!$C:$C,$B89,qPL_Fact!$A:$A,D$3)</f>
        <v/>
      </c>
      <c r="E89" s="47">
        <f>SUMIFS(qPL_Fact!$D:$D,qPL_Fact!$C:$C,$B89,qPL_Fact!$A:$A,E$3)</f>
        <v/>
      </c>
      <c r="F89" s="47">
        <f>SUMIFS(qPL_Fact!$D:$D,qPL_Fact!$C:$C,$B89,qPL_Fact!$A:$A,F$3)</f>
        <v/>
      </c>
      <c r="G89" s="47">
        <f>SUMIFS(qPL_Fact!$D:$D,qPL_Fact!$C:$C,$B89,qPL_Fact!$A:$A,G$3)</f>
        <v/>
      </c>
      <c r="H89" s="47">
        <f>SUMIFS(qPL_Fact!$D:$D,qPL_Fact!$C:$C,$B89,qPL_Fact!$A:$A,H$3)</f>
        <v/>
      </c>
      <c r="I89" s="47">
        <f>SUMIFS(qPL_Fact!$D:$D,qPL_Fact!$C:$C,$B89,qPL_Fact!$A:$A,I$3)</f>
        <v/>
      </c>
      <c r="J89" s="47">
        <f>SUMIFS(qPL_Fact!$D:$D,qPL_Fact!$C:$C,$B89,qPL_Fact!$A:$A,J$3)</f>
        <v/>
      </c>
      <c r="K89" s="47">
        <f>SUMIFS(qPL_Fact!$D:$D,qPL_Fact!$C:$C,$B89,qPL_Fact!$A:$A,K$3)</f>
        <v/>
      </c>
      <c r="L89" s="47">
        <f>SUMIFS(qPL_Fact!$D:$D,qPL_Fact!$C:$C,$B89,qPL_Fact!$A:$A,L$3)</f>
        <v/>
      </c>
      <c r="M89" s="47">
        <f>SUMIFS(qPL_Fact!$D:$D,qPL_Fact!$C:$C,$B89,qPL_Fact!$A:$A,M$3)</f>
        <v/>
      </c>
      <c r="N89" s="47">
        <f>SUMIFS(qPL_Fact!$D:$D,qPL_Fact!$C:$C,$B89,qPL_Fact!$A:$A,N$3)</f>
        <v/>
      </c>
      <c r="O89" s="47">
        <f>N89</f>
        <v/>
      </c>
    </row>
    <row r="90">
      <c r="A90" s="20" t="n"/>
      <c r="B90" s="12" t="inlineStr">
        <is>
          <t>Cash-on-Cash (CFADS)</t>
        </is>
      </c>
      <c r="C90" s="45">
        <f>SUMIFS(qPL_Fact!$D:$D,qPL_Fact!$C:$C,$B90,qPL_Fact!$A:$A,C$3)</f>
        <v/>
      </c>
      <c r="D90" s="45">
        <f>SUMIFS(qPL_Fact!$D:$D,qPL_Fact!$C:$C,$B90,qPL_Fact!$A:$A,D$3)</f>
        <v/>
      </c>
      <c r="E90" s="45">
        <f>SUMIFS(qPL_Fact!$D:$D,qPL_Fact!$C:$C,$B90,qPL_Fact!$A:$A,E$3)</f>
        <v/>
      </c>
      <c r="F90" s="45">
        <f>SUMIFS(qPL_Fact!$D:$D,qPL_Fact!$C:$C,$B90,qPL_Fact!$A:$A,F$3)</f>
        <v/>
      </c>
      <c r="G90" s="45">
        <f>SUMIFS(qPL_Fact!$D:$D,qPL_Fact!$C:$C,$B90,qPL_Fact!$A:$A,G$3)</f>
        <v/>
      </c>
      <c r="H90" s="45">
        <f>SUMIFS(qPL_Fact!$D:$D,qPL_Fact!$C:$C,$B90,qPL_Fact!$A:$A,H$3)</f>
        <v/>
      </c>
      <c r="I90" s="45">
        <f>SUMIFS(qPL_Fact!$D:$D,qPL_Fact!$C:$C,$B90,qPL_Fact!$A:$A,I$3)</f>
        <v/>
      </c>
      <c r="J90" s="45">
        <f>SUMIFS(qPL_Fact!$D:$D,qPL_Fact!$C:$C,$B90,qPL_Fact!$A:$A,J$3)</f>
        <v/>
      </c>
      <c r="K90" s="45">
        <f>SUMIFS(qPL_Fact!$D:$D,qPL_Fact!$C:$C,$B90,qPL_Fact!$A:$A,K$3)</f>
        <v/>
      </c>
      <c r="L90" s="45">
        <f>SUMIFS(qPL_Fact!$D:$D,qPL_Fact!$C:$C,$B90,qPL_Fact!$A:$A,L$3)</f>
        <v/>
      </c>
      <c r="M90" s="45">
        <f>SUMIFS(qPL_Fact!$D:$D,qPL_Fact!$C:$C,$B90,qPL_Fact!$A:$A,M$3)</f>
        <v/>
      </c>
      <c r="N90" s="45">
        <f>SUMIFS(qPL_Fact!$D:$D,qPL_Fact!$C:$C,$B90,qPL_Fact!$A:$A,N$3)</f>
        <v/>
      </c>
      <c r="O90" s="45">
        <f>N90</f>
        <v/>
      </c>
    </row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Trailing Analysis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8" customHeight="1">
      <c r="A2" s="4" t="inlineStr">
        <is>
          <t>Period-over-period variance  |  Current month: Dec-25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7" t="inlineStr">
        <is>
          <t>GL</t>
        </is>
      </c>
      <c r="B3" s="7" t="inlineStr">
        <is>
          <t>Account</t>
        </is>
      </c>
      <c r="C3" s="7" t="inlineStr">
        <is>
          <t>Dec-25</t>
        </is>
      </c>
      <c r="D3" s="7" t="inlineStr">
        <is>
          <t>Nov-25</t>
        </is>
      </c>
      <c r="E3" s="7" t="inlineStr">
        <is>
          <t>Δ MoM</t>
        </is>
      </c>
      <c r="F3" s="7" t="inlineStr">
        <is>
          <t>Oct-25–Dec-25</t>
        </is>
      </c>
      <c r="G3" s="7" t="inlineStr">
        <is>
          <t>Jul-25–Sep-25</t>
        </is>
      </c>
      <c r="H3" s="7" t="inlineStr">
        <is>
          <t>Δ T3</t>
        </is>
      </c>
      <c r="I3" s="7" t="inlineStr">
        <is>
          <t>Jan-25–Dec-25</t>
        </is>
      </c>
      <c r="J3" s="7" t="inlineStr">
        <is>
          <t>Aug-24–Jul-25</t>
        </is>
      </c>
      <c r="K3" s="7" t="inlineStr">
        <is>
          <t>Δ T12</t>
        </is>
      </c>
    </row>
    <row r="4" ht="20" customHeight="1">
      <c r="A4" s="6" t="n"/>
      <c r="B4" s="6" t="inlineStr">
        <is>
          <t>REVENUE</t>
        </is>
      </c>
      <c r="C4" s="36">
        <f>SUMIFS(qPL_Fact!$D:$D,qPL_Fact!$C:$C,$B4,qPL_Fact!$A:$A,DATE(2025,12,1))</f>
        <v/>
      </c>
      <c r="D4" s="36">
        <f>SUMIFS(qPL_Fact!$D:$D,qPL_Fact!$C:$C,$B4,qPL_Fact!$A:$A,DATE(2025,11,1))</f>
        <v/>
      </c>
      <c r="E4" s="36">
        <f>C4-D4</f>
        <v/>
      </c>
      <c r="F4" s="36">
        <f>SUMIFS(qPL_Fact!$D:$D,qPL_Fact!$C:$C,$B4,qPL_Fact!$A:$A,DATE(2025,10,1))+SUMIFS(qPL_Fact!$D:$D,qPL_Fact!$C:$C,$B4,qPL_Fact!$A:$A,DATE(2025,11,1))+SUMIFS(qPL_Fact!$D:$D,qPL_Fact!$C:$C,$B4,qPL_Fact!$A:$A,DATE(2025,12,1))</f>
        <v/>
      </c>
      <c r="G4" s="36">
        <f>SUMIFS(qPL_Fact!$D:$D,qPL_Fact!$C:$C,$B4,qPL_Fact!$A:$A,DATE(2025,7,1))+SUMIFS(qPL_Fact!$D:$D,qPL_Fact!$C:$C,$B4,qPL_Fact!$A:$A,DATE(2025,8,1))+SUMIFS(qPL_Fact!$D:$D,qPL_Fact!$C:$C,$B4,qPL_Fact!$A:$A,DATE(2025,9,1))</f>
        <v/>
      </c>
      <c r="H4" s="36">
        <f>F4-G4</f>
        <v/>
      </c>
      <c r="I4" s="36">
        <f>SUMIFS(qPL_Fact!$D:$D,qPL_Fact!$C:$C,$B4,qPL_Fact!$A:$A,DATE(2025,1,1))+SUMIFS(qPL_Fact!$D:$D,qPL_Fact!$C:$C,$B4,qPL_Fact!$A:$A,DATE(2025,2,1))+SUMIFS(qPL_Fact!$D:$D,qPL_Fact!$C:$C,$B4,qPL_Fact!$A:$A,DATE(2025,3,1))+SUMIFS(qPL_Fact!$D:$D,qPL_Fact!$C:$C,$B4,qPL_Fact!$A:$A,DATE(2025,4,1))+SUMIFS(qPL_Fact!$D:$D,qPL_Fact!$C:$C,$B4,qPL_Fact!$A:$A,DATE(2025,5,1))+SUMIFS(qPL_Fact!$D:$D,qPL_Fact!$C:$C,$B4,qPL_Fact!$A:$A,DATE(2025,6,1))+SUMIFS(qPL_Fact!$D:$D,qPL_Fact!$C:$C,$B4,qPL_Fact!$A:$A,DATE(2025,7,1))+SUMIFS(qPL_Fact!$D:$D,qPL_Fact!$C:$C,$B4,qPL_Fact!$A:$A,DATE(2025,8,1))+SUMIFS(qPL_Fact!$D:$D,qPL_Fact!$C:$C,$B4,qPL_Fact!$A:$A,DATE(2025,9,1))+SUMIFS(qPL_Fact!$D:$D,qPL_Fact!$C:$C,$B4,qPL_Fact!$A:$A,DATE(2025,10,1))+SUMIFS(qPL_Fact!$D:$D,qPL_Fact!$C:$C,$B4,qPL_Fact!$A:$A,DATE(2025,11,1))+SUMIFS(qPL_Fact!$D:$D,qPL_Fact!$C:$C,$B4,qPL_Fact!$A:$A,DATE(2025,12,1))</f>
        <v/>
      </c>
      <c r="J4" s="36">
        <f>SUMIFS(qPL_Fact!$D:$D,qPL_Fact!$C:$C,$B4,qPL_Fact!$A:$A,DATE(2024,8,1))+SUMIFS(qPL_Fact!$D:$D,qPL_Fact!$C:$C,$B4,qPL_Fact!$A:$A,DATE(2024,9,1))+SUMIFS(qPL_Fact!$D:$D,qPL_Fact!$C:$C,$B4,qPL_Fact!$A:$A,DATE(2024,10,1))+SUMIFS(qPL_Fact!$D:$D,qPL_Fact!$C:$C,$B4,qPL_Fact!$A:$A,DATE(2024,11,1))+SUMIFS(qPL_Fact!$D:$D,qPL_Fact!$C:$C,$B4,qPL_Fact!$A:$A,DATE(2024,12,1))+SUMIFS(qPL_Fact!$D:$D,qPL_Fact!$C:$C,$B4,qPL_Fact!$A:$A,DATE(2025,1,1))+SUMIFS(qPL_Fact!$D:$D,qPL_Fact!$C:$C,$B4,qPL_Fact!$A:$A,DATE(2025,2,1))+SUMIFS(qPL_Fact!$D:$D,qPL_Fact!$C:$C,$B4,qPL_Fact!$A:$A,DATE(2025,3,1))+SUMIFS(qPL_Fact!$D:$D,qPL_Fact!$C:$C,$B4,qPL_Fact!$A:$A,DATE(2025,4,1))+SUMIFS(qPL_Fact!$D:$D,qPL_Fact!$C:$C,$B4,qPL_Fact!$A:$A,DATE(2025,5,1))+SUMIFS(qPL_Fact!$D:$D,qPL_Fact!$C:$C,$B4,qPL_Fact!$A:$A,DATE(2025,6,1))+SUMIFS(qPL_Fact!$D:$D,qPL_Fact!$C:$C,$B4,qPL_Fact!$A:$A,DATE(2025,7,1))</f>
        <v/>
      </c>
      <c r="K4" s="36">
        <f>I4-J4</f>
        <v/>
      </c>
    </row>
    <row r="5">
      <c r="A5" s="8" t="inlineStr">
        <is>
          <t>3090</t>
        </is>
      </c>
      <c r="B5" s="10" t="inlineStr">
        <is>
          <t>Gross Potential Rent</t>
        </is>
      </c>
      <c r="C5" s="37">
        <f>SUMIFS(qPL_Fact!$D:$D,qPL_Fact!$C:$C,$B5,qPL_Fact!$A:$A,DATE(2025,12,1))</f>
        <v/>
      </c>
      <c r="D5" s="37">
        <f>SUMIFS(qPL_Fact!$D:$D,qPL_Fact!$C:$C,$B5,qPL_Fact!$A:$A,DATE(2025,11,1))</f>
        <v/>
      </c>
      <c r="E5" s="37">
        <f>C5-D5</f>
        <v/>
      </c>
      <c r="F5" s="37">
        <f>SUMIFS(qPL_Fact!$D:$D,qPL_Fact!$C:$C,$B5,qPL_Fact!$A:$A,DATE(2025,10,1))+SUMIFS(qPL_Fact!$D:$D,qPL_Fact!$C:$C,$B5,qPL_Fact!$A:$A,DATE(2025,11,1))+SUMIFS(qPL_Fact!$D:$D,qPL_Fact!$C:$C,$B5,qPL_Fact!$A:$A,DATE(2025,12,1))</f>
        <v/>
      </c>
      <c r="G5" s="37">
        <f>SUMIFS(qPL_Fact!$D:$D,qPL_Fact!$C:$C,$B5,qPL_Fact!$A:$A,DATE(2025,7,1))+SUMIFS(qPL_Fact!$D:$D,qPL_Fact!$C:$C,$B5,qPL_Fact!$A:$A,DATE(2025,8,1))+SUMIFS(qPL_Fact!$D:$D,qPL_Fact!$C:$C,$B5,qPL_Fact!$A:$A,DATE(2025,9,1))</f>
        <v/>
      </c>
      <c r="H5" s="37">
        <f>F5-G5</f>
        <v/>
      </c>
      <c r="I5" s="37">
        <f>SUMIFS(qPL_Fact!$D:$D,qPL_Fact!$C:$C,$B5,qPL_Fact!$A:$A,DATE(2025,1,1))+SUMIFS(qPL_Fact!$D:$D,qPL_Fact!$C:$C,$B5,qPL_Fact!$A:$A,DATE(2025,2,1))+SUMIFS(qPL_Fact!$D:$D,qPL_Fact!$C:$C,$B5,qPL_Fact!$A:$A,DATE(2025,3,1))+SUMIFS(qPL_Fact!$D:$D,qPL_Fact!$C:$C,$B5,qPL_Fact!$A:$A,DATE(2025,4,1))+SUMIFS(qPL_Fact!$D:$D,qPL_Fact!$C:$C,$B5,qPL_Fact!$A:$A,DATE(2025,5,1))+SUMIFS(qPL_Fact!$D:$D,qPL_Fact!$C:$C,$B5,qPL_Fact!$A:$A,DATE(2025,6,1))+SUMIFS(qPL_Fact!$D:$D,qPL_Fact!$C:$C,$B5,qPL_Fact!$A:$A,DATE(2025,7,1))+SUMIFS(qPL_Fact!$D:$D,qPL_Fact!$C:$C,$B5,qPL_Fact!$A:$A,DATE(2025,8,1))+SUMIFS(qPL_Fact!$D:$D,qPL_Fact!$C:$C,$B5,qPL_Fact!$A:$A,DATE(2025,9,1))+SUMIFS(qPL_Fact!$D:$D,qPL_Fact!$C:$C,$B5,qPL_Fact!$A:$A,DATE(2025,10,1))+SUMIFS(qPL_Fact!$D:$D,qPL_Fact!$C:$C,$B5,qPL_Fact!$A:$A,DATE(2025,11,1))+SUMIFS(qPL_Fact!$D:$D,qPL_Fact!$C:$C,$B5,qPL_Fact!$A:$A,DATE(2025,12,1))</f>
        <v/>
      </c>
      <c r="J5" s="37">
        <f>SUMIFS(qPL_Fact!$D:$D,qPL_Fact!$C:$C,$B5,qPL_Fact!$A:$A,DATE(2024,8,1))+SUMIFS(qPL_Fact!$D:$D,qPL_Fact!$C:$C,$B5,qPL_Fact!$A:$A,DATE(2024,9,1))+SUMIFS(qPL_Fact!$D:$D,qPL_Fact!$C:$C,$B5,qPL_Fact!$A:$A,DATE(2024,10,1))+SUMIFS(qPL_Fact!$D:$D,qPL_Fact!$C:$C,$B5,qPL_Fact!$A:$A,DATE(2024,11,1))+SUMIFS(qPL_Fact!$D:$D,qPL_Fact!$C:$C,$B5,qPL_Fact!$A:$A,DATE(2024,12,1))+SUMIFS(qPL_Fact!$D:$D,qPL_Fact!$C:$C,$B5,qPL_Fact!$A:$A,DATE(2025,1,1))+SUMIFS(qPL_Fact!$D:$D,qPL_Fact!$C:$C,$B5,qPL_Fact!$A:$A,DATE(2025,2,1))+SUMIFS(qPL_Fact!$D:$D,qPL_Fact!$C:$C,$B5,qPL_Fact!$A:$A,DATE(2025,3,1))+SUMIFS(qPL_Fact!$D:$D,qPL_Fact!$C:$C,$B5,qPL_Fact!$A:$A,DATE(2025,4,1))+SUMIFS(qPL_Fact!$D:$D,qPL_Fact!$C:$C,$B5,qPL_Fact!$A:$A,DATE(2025,5,1))+SUMIFS(qPL_Fact!$D:$D,qPL_Fact!$C:$C,$B5,qPL_Fact!$A:$A,DATE(2025,6,1))+SUMIFS(qPL_Fact!$D:$D,qPL_Fact!$C:$C,$B5,qPL_Fact!$A:$A,DATE(2025,7,1))</f>
        <v/>
      </c>
      <c r="K5" s="37">
        <f>I5-J5</f>
        <v/>
      </c>
    </row>
    <row r="6">
      <c r="A6" s="11" t="inlineStr">
        <is>
          <t>4100</t>
        </is>
      </c>
      <c r="B6" s="12" t="inlineStr">
        <is>
          <t>Loss/Gain to Market</t>
        </is>
      </c>
      <c r="C6" s="38">
        <f>SUMIFS(qPL_Fact!$D:$D,qPL_Fact!$C:$C,$B6,qPL_Fact!$A:$A,DATE(2025,12,1))</f>
        <v/>
      </c>
      <c r="D6" s="38">
        <f>SUMIFS(qPL_Fact!$D:$D,qPL_Fact!$C:$C,$B6,qPL_Fact!$A:$A,DATE(2025,11,1))</f>
        <v/>
      </c>
      <c r="E6" s="38">
        <f>C6-D6</f>
        <v/>
      </c>
      <c r="F6" s="38">
        <f>SUMIFS(qPL_Fact!$D:$D,qPL_Fact!$C:$C,$B6,qPL_Fact!$A:$A,DATE(2025,10,1))+SUMIFS(qPL_Fact!$D:$D,qPL_Fact!$C:$C,$B6,qPL_Fact!$A:$A,DATE(2025,11,1))+SUMIFS(qPL_Fact!$D:$D,qPL_Fact!$C:$C,$B6,qPL_Fact!$A:$A,DATE(2025,12,1))</f>
        <v/>
      </c>
      <c r="G6" s="38">
        <f>SUMIFS(qPL_Fact!$D:$D,qPL_Fact!$C:$C,$B6,qPL_Fact!$A:$A,DATE(2025,7,1))+SUMIFS(qPL_Fact!$D:$D,qPL_Fact!$C:$C,$B6,qPL_Fact!$A:$A,DATE(2025,8,1))+SUMIFS(qPL_Fact!$D:$D,qPL_Fact!$C:$C,$B6,qPL_Fact!$A:$A,DATE(2025,9,1))</f>
        <v/>
      </c>
      <c r="H6" s="38">
        <f>F6-G6</f>
        <v/>
      </c>
      <c r="I6" s="38">
        <f>SUMIFS(qPL_Fact!$D:$D,qPL_Fact!$C:$C,$B6,qPL_Fact!$A:$A,DATE(2025,1,1))+SUMIFS(qPL_Fact!$D:$D,qPL_Fact!$C:$C,$B6,qPL_Fact!$A:$A,DATE(2025,2,1))+SUMIFS(qPL_Fact!$D:$D,qPL_Fact!$C:$C,$B6,qPL_Fact!$A:$A,DATE(2025,3,1))+SUMIFS(qPL_Fact!$D:$D,qPL_Fact!$C:$C,$B6,qPL_Fact!$A:$A,DATE(2025,4,1))+SUMIFS(qPL_Fact!$D:$D,qPL_Fact!$C:$C,$B6,qPL_Fact!$A:$A,DATE(2025,5,1))+SUMIFS(qPL_Fact!$D:$D,qPL_Fact!$C:$C,$B6,qPL_Fact!$A:$A,DATE(2025,6,1))+SUMIFS(qPL_Fact!$D:$D,qPL_Fact!$C:$C,$B6,qPL_Fact!$A:$A,DATE(2025,7,1))+SUMIFS(qPL_Fact!$D:$D,qPL_Fact!$C:$C,$B6,qPL_Fact!$A:$A,DATE(2025,8,1))+SUMIFS(qPL_Fact!$D:$D,qPL_Fact!$C:$C,$B6,qPL_Fact!$A:$A,DATE(2025,9,1))+SUMIFS(qPL_Fact!$D:$D,qPL_Fact!$C:$C,$B6,qPL_Fact!$A:$A,DATE(2025,10,1))+SUMIFS(qPL_Fact!$D:$D,qPL_Fact!$C:$C,$B6,qPL_Fact!$A:$A,DATE(2025,11,1))+SUMIFS(qPL_Fact!$D:$D,qPL_Fact!$C:$C,$B6,qPL_Fact!$A:$A,DATE(2025,12,1))</f>
        <v/>
      </c>
      <c r="J6" s="38">
        <f>SUMIFS(qPL_Fact!$D:$D,qPL_Fact!$C:$C,$B6,qPL_Fact!$A:$A,DATE(2024,8,1))+SUMIFS(qPL_Fact!$D:$D,qPL_Fact!$C:$C,$B6,qPL_Fact!$A:$A,DATE(2024,9,1))+SUMIFS(qPL_Fact!$D:$D,qPL_Fact!$C:$C,$B6,qPL_Fact!$A:$A,DATE(2024,10,1))+SUMIFS(qPL_Fact!$D:$D,qPL_Fact!$C:$C,$B6,qPL_Fact!$A:$A,DATE(2024,11,1))+SUMIFS(qPL_Fact!$D:$D,qPL_Fact!$C:$C,$B6,qPL_Fact!$A:$A,DATE(2024,12,1))+SUMIFS(qPL_Fact!$D:$D,qPL_Fact!$C:$C,$B6,qPL_Fact!$A:$A,DATE(2025,1,1))+SUMIFS(qPL_Fact!$D:$D,qPL_Fact!$C:$C,$B6,qPL_Fact!$A:$A,DATE(2025,2,1))+SUMIFS(qPL_Fact!$D:$D,qPL_Fact!$C:$C,$B6,qPL_Fact!$A:$A,DATE(2025,3,1))+SUMIFS(qPL_Fact!$D:$D,qPL_Fact!$C:$C,$B6,qPL_Fact!$A:$A,DATE(2025,4,1))+SUMIFS(qPL_Fact!$D:$D,qPL_Fact!$C:$C,$B6,qPL_Fact!$A:$A,DATE(2025,5,1))+SUMIFS(qPL_Fact!$D:$D,qPL_Fact!$C:$C,$B6,qPL_Fact!$A:$A,DATE(2025,6,1))+SUMIFS(qPL_Fact!$D:$D,qPL_Fact!$C:$C,$B6,qPL_Fact!$A:$A,DATE(2025,7,1))</f>
        <v/>
      </c>
      <c r="K6" s="38">
        <f>I6-J6</f>
        <v/>
      </c>
    </row>
    <row r="7">
      <c r="A7" s="8" t="inlineStr">
        <is>
          <t>4100</t>
        </is>
      </c>
      <c r="B7" s="10" t="inlineStr">
        <is>
          <t>Delinquency</t>
        </is>
      </c>
      <c r="C7" s="37">
        <f>SUMIFS(qPL_Fact!$D:$D,qPL_Fact!$C:$C,$B7,qPL_Fact!$A:$A,DATE(2025,12,1))</f>
        <v/>
      </c>
      <c r="D7" s="37">
        <f>SUMIFS(qPL_Fact!$D:$D,qPL_Fact!$C:$C,$B7,qPL_Fact!$A:$A,DATE(2025,11,1))</f>
        <v/>
      </c>
      <c r="E7" s="37">
        <f>C7-D7</f>
        <v/>
      </c>
      <c r="F7" s="37">
        <f>SUMIFS(qPL_Fact!$D:$D,qPL_Fact!$C:$C,$B7,qPL_Fact!$A:$A,DATE(2025,10,1))+SUMIFS(qPL_Fact!$D:$D,qPL_Fact!$C:$C,$B7,qPL_Fact!$A:$A,DATE(2025,11,1))+SUMIFS(qPL_Fact!$D:$D,qPL_Fact!$C:$C,$B7,qPL_Fact!$A:$A,DATE(2025,12,1))</f>
        <v/>
      </c>
      <c r="G7" s="37">
        <f>SUMIFS(qPL_Fact!$D:$D,qPL_Fact!$C:$C,$B7,qPL_Fact!$A:$A,DATE(2025,7,1))+SUMIFS(qPL_Fact!$D:$D,qPL_Fact!$C:$C,$B7,qPL_Fact!$A:$A,DATE(2025,8,1))+SUMIFS(qPL_Fact!$D:$D,qPL_Fact!$C:$C,$B7,qPL_Fact!$A:$A,DATE(2025,9,1))</f>
        <v/>
      </c>
      <c r="H7" s="37">
        <f>F7-G7</f>
        <v/>
      </c>
      <c r="I7" s="37">
        <f>SUMIFS(qPL_Fact!$D:$D,qPL_Fact!$C:$C,$B7,qPL_Fact!$A:$A,DATE(2025,1,1))+SUMIFS(qPL_Fact!$D:$D,qPL_Fact!$C:$C,$B7,qPL_Fact!$A:$A,DATE(2025,2,1))+SUMIFS(qPL_Fact!$D:$D,qPL_Fact!$C:$C,$B7,qPL_Fact!$A:$A,DATE(2025,3,1))+SUMIFS(qPL_Fact!$D:$D,qPL_Fact!$C:$C,$B7,qPL_Fact!$A:$A,DATE(2025,4,1))+SUMIFS(qPL_Fact!$D:$D,qPL_Fact!$C:$C,$B7,qPL_Fact!$A:$A,DATE(2025,5,1))+SUMIFS(qPL_Fact!$D:$D,qPL_Fact!$C:$C,$B7,qPL_Fact!$A:$A,DATE(2025,6,1))+SUMIFS(qPL_Fact!$D:$D,qPL_Fact!$C:$C,$B7,qPL_Fact!$A:$A,DATE(2025,7,1))+SUMIFS(qPL_Fact!$D:$D,qPL_Fact!$C:$C,$B7,qPL_Fact!$A:$A,DATE(2025,8,1))+SUMIFS(qPL_Fact!$D:$D,qPL_Fact!$C:$C,$B7,qPL_Fact!$A:$A,DATE(2025,9,1))+SUMIFS(qPL_Fact!$D:$D,qPL_Fact!$C:$C,$B7,qPL_Fact!$A:$A,DATE(2025,10,1))+SUMIFS(qPL_Fact!$D:$D,qPL_Fact!$C:$C,$B7,qPL_Fact!$A:$A,DATE(2025,11,1))+SUMIFS(qPL_Fact!$D:$D,qPL_Fact!$C:$C,$B7,qPL_Fact!$A:$A,DATE(2025,12,1))</f>
        <v/>
      </c>
      <c r="J7" s="37">
        <f>SUMIFS(qPL_Fact!$D:$D,qPL_Fact!$C:$C,$B7,qPL_Fact!$A:$A,DATE(2024,8,1))+SUMIFS(qPL_Fact!$D:$D,qPL_Fact!$C:$C,$B7,qPL_Fact!$A:$A,DATE(2024,9,1))+SUMIFS(qPL_Fact!$D:$D,qPL_Fact!$C:$C,$B7,qPL_Fact!$A:$A,DATE(2024,10,1))+SUMIFS(qPL_Fact!$D:$D,qPL_Fact!$C:$C,$B7,qPL_Fact!$A:$A,DATE(2024,11,1))+SUMIFS(qPL_Fact!$D:$D,qPL_Fact!$C:$C,$B7,qPL_Fact!$A:$A,DATE(2024,12,1))+SUMIFS(qPL_Fact!$D:$D,qPL_Fact!$C:$C,$B7,qPL_Fact!$A:$A,DATE(2025,1,1))+SUMIFS(qPL_Fact!$D:$D,qPL_Fact!$C:$C,$B7,qPL_Fact!$A:$A,DATE(2025,2,1))+SUMIFS(qPL_Fact!$D:$D,qPL_Fact!$C:$C,$B7,qPL_Fact!$A:$A,DATE(2025,3,1))+SUMIFS(qPL_Fact!$D:$D,qPL_Fact!$C:$C,$B7,qPL_Fact!$A:$A,DATE(2025,4,1))+SUMIFS(qPL_Fact!$D:$D,qPL_Fact!$C:$C,$B7,qPL_Fact!$A:$A,DATE(2025,5,1))+SUMIFS(qPL_Fact!$D:$D,qPL_Fact!$C:$C,$B7,qPL_Fact!$A:$A,DATE(2025,6,1))+SUMIFS(qPL_Fact!$D:$D,qPL_Fact!$C:$C,$B7,qPL_Fact!$A:$A,DATE(2025,7,1))</f>
        <v/>
      </c>
      <c r="K7" s="37">
        <f>I7-J7</f>
        <v/>
      </c>
    </row>
    <row r="8">
      <c r="A8" s="11" t="inlineStr">
        <is>
          <t>4100</t>
        </is>
      </c>
      <c r="B8" s="12" t="inlineStr">
        <is>
          <t>Vacancy</t>
        </is>
      </c>
      <c r="C8" s="38">
        <f>SUMIFS(qPL_Fact!$D:$D,qPL_Fact!$C:$C,$B8,qPL_Fact!$A:$A,DATE(2025,12,1))</f>
        <v/>
      </c>
      <c r="D8" s="38">
        <f>SUMIFS(qPL_Fact!$D:$D,qPL_Fact!$C:$C,$B8,qPL_Fact!$A:$A,DATE(2025,11,1))</f>
        <v/>
      </c>
      <c r="E8" s="38">
        <f>C8-D8</f>
        <v/>
      </c>
      <c r="F8" s="38">
        <f>SUMIFS(qPL_Fact!$D:$D,qPL_Fact!$C:$C,$B8,qPL_Fact!$A:$A,DATE(2025,10,1))+SUMIFS(qPL_Fact!$D:$D,qPL_Fact!$C:$C,$B8,qPL_Fact!$A:$A,DATE(2025,11,1))+SUMIFS(qPL_Fact!$D:$D,qPL_Fact!$C:$C,$B8,qPL_Fact!$A:$A,DATE(2025,12,1))</f>
        <v/>
      </c>
      <c r="G8" s="38">
        <f>SUMIFS(qPL_Fact!$D:$D,qPL_Fact!$C:$C,$B8,qPL_Fact!$A:$A,DATE(2025,7,1))+SUMIFS(qPL_Fact!$D:$D,qPL_Fact!$C:$C,$B8,qPL_Fact!$A:$A,DATE(2025,8,1))+SUMIFS(qPL_Fact!$D:$D,qPL_Fact!$C:$C,$B8,qPL_Fact!$A:$A,DATE(2025,9,1))</f>
        <v/>
      </c>
      <c r="H8" s="38">
        <f>F8-G8</f>
        <v/>
      </c>
      <c r="I8" s="38">
        <f>SUMIFS(qPL_Fact!$D:$D,qPL_Fact!$C:$C,$B8,qPL_Fact!$A:$A,DATE(2025,1,1))+SUMIFS(qPL_Fact!$D:$D,qPL_Fact!$C:$C,$B8,qPL_Fact!$A:$A,DATE(2025,2,1))+SUMIFS(qPL_Fact!$D:$D,qPL_Fact!$C:$C,$B8,qPL_Fact!$A:$A,DATE(2025,3,1))+SUMIFS(qPL_Fact!$D:$D,qPL_Fact!$C:$C,$B8,qPL_Fact!$A:$A,DATE(2025,4,1))+SUMIFS(qPL_Fact!$D:$D,qPL_Fact!$C:$C,$B8,qPL_Fact!$A:$A,DATE(2025,5,1))+SUMIFS(qPL_Fact!$D:$D,qPL_Fact!$C:$C,$B8,qPL_Fact!$A:$A,DATE(2025,6,1))+SUMIFS(qPL_Fact!$D:$D,qPL_Fact!$C:$C,$B8,qPL_Fact!$A:$A,DATE(2025,7,1))+SUMIFS(qPL_Fact!$D:$D,qPL_Fact!$C:$C,$B8,qPL_Fact!$A:$A,DATE(2025,8,1))+SUMIFS(qPL_Fact!$D:$D,qPL_Fact!$C:$C,$B8,qPL_Fact!$A:$A,DATE(2025,9,1))+SUMIFS(qPL_Fact!$D:$D,qPL_Fact!$C:$C,$B8,qPL_Fact!$A:$A,DATE(2025,10,1))+SUMIFS(qPL_Fact!$D:$D,qPL_Fact!$C:$C,$B8,qPL_Fact!$A:$A,DATE(2025,11,1))+SUMIFS(qPL_Fact!$D:$D,qPL_Fact!$C:$C,$B8,qPL_Fact!$A:$A,DATE(2025,12,1))</f>
        <v/>
      </c>
      <c r="J8" s="38">
        <f>SUMIFS(qPL_Fact!$D:$D,qPL_Fact!$C:$C,$B8,qPL_Fact!$A:$A,DATE(2024,8,1))+SUMIFS(qPL_Fact!$D:$D,qPL_Fact!$C:$C,$B8,qPL_Fact!$A:$A,DATE(2024,9,1))+SUMIFS(qPL_Fact!$D:$D,qPL_Fact!$C:$C,$B8,qPL_Fact!$A:$A,DATE(2024,10,1))+SUMIFS(qPL_Fact!$D:$D,qPL_Fact!$C:$C,$B8,qPL_Fact!$A:$A,DATE(2024,11,1))+SUMIFS(qPL_Fact!$D:$D,qPL_Fact!$C:$C,$B8,qPL_Fact!$A:$A,DATE(2024,12,1))+SUMIFS(qPL_Fact!$D:$D,qPL_Fact!$C:$C,$B8,qPL_Fact!$A:$A,DATE(2025,1,1))+SUMIFS(qPL_Fact!$D:$D,qPL_Fact!$C:$C,$B8,qPL_Fact!$A:$A,DATE(2025,2,1))+SUMIFS(qPL_Fact!$D:$D,qPL_Fact!$C:$C,$B8,qPL_Fact!$A:$A,DATE(2025,3,1))+SUMIFS(qPL_Fact!$D:$D,qPL_Fact!$C:$C,$B8,qPL_Fact!$A:$A,DATE(2025,4,1))+SUMIFS(qPL_Fact!$D:$D,qPL_Fact!$C:$C,$B8,qPL_Fact!$A:$A,DATE(2025,5,1))+SUMIFS(qPL_Fact!$D:$D,qPL_Fact!$C:$C,$B8,qPL_Fact!$A:$A,DATE(2025,6,1))+SUMIFS(qPL_Fact!$D:$D,qPL_Fact!$C:$C,$B8,qPL_Fact!$A:$A,DATE(2025,7,1))</f>
        <v/>
      </c>
      <c r="K8" s="38">
        <f>I8-J8</f>
        <v/>
      </c>
    </row>
    <row r="9">
      <c r="A9" s="23" t="n"/>
      <c r="B9" s="10" t="inlineStr">
        <is>
          <t>Concessions</t>
        </is>
      </c>
      <c r="C9" s="37">
        <f>SUMIFS(qPL_Fact!$D:$D,qPL_Fact!$C:$C,$B9,qPL_Fact!$A:$A,DATE(2025,12,1))</f>
        <v/>
      </c>
      <c r="D9" s="37">
        <f>SUMIFS(qPL_Fact!$D:$D,qPL_Fact!$C:$C,$B9,qPL_Fact!$A:$A,DATE(2025,11,1))</f>
        <v/>
      </c>
      <c r="E9" s="37">
        <f>C9-D9</f>
        <v/>
      </c>
      <c r="F9" s="37">
        <f>SUMIFS(qPL_Fact!$D:$D,qPL_Fact!$C:$C,$B9,qPL_Fact!$A:$A,DATE(2025,10,1))+SUMIFS(qPL_Fact!$D:$D,qPL_Fact!$C:$C,$B9,qPL_Fact!$A:$A,DATE(2025,11,1))+SUMIFS(qPL_Fact!$D:$D,qPL_Fact!$C:$C,$B9,qPL_Fact!$A:$A,DATE(2025,12,1))</f>
        <v/>
      </c>
      <c r="G9" s="37">
        <f>SUMIFS(qPL_Fact!$D:$D,qPL_Fact!$C:$C,$B9,qPL_Fact!$A:$A,DATE(2025,7,1))+SUMIFS(qPL_Fact!$D:$D,qPL_Fact!$C:$C,$B9,qPL_Fact!$A:$A,DATE(2025,8,1))+SUMIFS(qPL_Fact!$D:$D,qPL_Fact!$C:$C,$B9,qPL_Fact!$A:$A,DATE(2025,9,1))</f>
        <v/>
      </c>
      <c r="H9" s="37">
        <f>F9-G9</f>
        <v/>
      </c>
      <c r="I9" s="37">
        <f>SUMIFS(qPL_Fact!$D:$D,qPL_Fact!$C:$C,$B9,qPL_Fact!$A:$A,DATE(2025,1,1))+SUMIFS(qPL_Fact!$D:$D,qPL_Fact!$C:$C,$B9,qPL_Fact!$A:$A,DATE(2025,2,1))+SUMIFS(qPL_Fact!$D:$D,qPL_Fact!$C:$C,$B9,qPL_Fact!$A:$A,DATE(2025,3,1))+SUMIFS(qPL_Fact!$D:$D,qPL_Fact!$C:$C,$B9,qPL_Fact!$A:$A,DATE(2025,4,1))+SUMIFS(qPL_Fact!$D:$D,qPL_Fact!$C:$C,$B9,qPL_Fact!$A:$A,DATE(2025,5,1))+SUMIFS(qPL_Fact!$D:$D,qPL_Fact!$C:$C,$B9,qPL_Fact!$A:$A,DATE(2025,6,1))+SUMIFS(qPL_Fact!$D:$D,qPL_Fact!$C:$C,$B9,qPL_Fact!$A:$A,DATE(2025,7,1))+SUMIFS(qPL_Fact!$D:$D,qPL_Fact!$C:$C,$B9,qPL_Fact!$A:$A,DATE(2025,8,1))+SUMIFS(qPL_Fact!$D:$D,qPL_Fact!$C:$C,$B9,qPL_Fact!$A:$A,DATE(2025,9,1))+SUMIFS(qPL_Fact!$D:$D,qPL_Fact!$C:$C,$B9,qPL_Fact!$A:$A,DATE(2025,10,1))+SUMIFS(qPL_Fact!$D:$D,qPL_Fact!$C:$C,$B9,qPL_Fact!$A:$A,DATE(2025,11,1))+SUMIFS(qPL_Fact!$D:$D,qPL_Fact!$C:$C,$B9,qPL_Fact!$A:$A,DATE(2025,12,1))</f>
        <v/>
      </c>
      <c r="J9" s="37">
        <f>SUMIFS(qPL_Fact!$D:$D,qPL_Fact!$C:$C,$B9,qPL_Fact!$A:$A,DATE(2024,8,1))+SUMIFS(qPL_Fact!$D:$D,qPL_Fact!$C:$C,$B9,qPL_Fact!$A:$A,DATE(2024,9,1))+SUMIFS(qPL_Fact!$D:$D,qPL_Fact!$C:$C,$B9,qPL_Fact!$A:$A,DATE(2024,10,1))+SUMIFS(qPL_Fact!$D:$D,qPL_Fact!$C:$C,$B9,qPL_Fact!$A:$A,DATE(2024,11,1))+SUMIFS(qPL_Fact!$D:$D,qPL_Fact!$C:$C,$B9,qPL_Fact!$A:$A,DATE(2024,12,1))+SUMIFS(qPL_Fact!$D:$D,qPL_Fact!$C:$C,$B9,qPL_Fact!$A:$A,DATE(2025,1,1))+SUMIFS(qPL_Fact!$D:$D,qPL_Fact!$C:$C,$B9,qPL_Fact!$A:$A,DATE(2025,2,1))+SUMIFS(qPL_Fact!$D:$D,qPL_Fact!$C:$C,$B9,qPL_Fact!$A:$A,DATE(2025,3,1))+SUMIFS(qPL_Fact!$D:$D,qPL_Fact!$C:$C,$B9,qPL_Fact!$A:$A,DATE(2025,4,1))+SUMIFS(qPL_Fact!$D:$D,qPL_Fact!$C:$C,$B9,qPL_Fact!$A:$A,DATE(2025,5,1))+SUMIFS(qPL_Fact!$D:$D,qPL_Fact!$C:$C,$B9,qPL_Fact!$A:$A,DATE(2025,6,1))+SUMIFS(qPL_Fact!$D:$D,qPL_Fact!$C:$C,$B9,qPL_Fact!$A:$A,DATE(2025,7,1))</f>
        <v/>
      </c>
      <c r="K9" s="37">
        <f>I9-J9</f>
        <v/>
      </c>
    </row>
    <row r="10">
      <c r="A10" s="11" t="inlineStr">
        <is>
          <t>4700</t>
        </is>
      </c>
      <c r="B10" s="12" t="inlineStr">
        <is>
          <t>Other Rent Adjustments</t>
        </is>
      </c>
      <c r="C10" s="38">
        <f>SUMIFS(qPL_Fact!$D:$D,qPL_Fact!$C:$C,$B10,qPL_Fact!$A:$A,DATE(2025,12,1))</f>
        <v/>
      </c>
      <c r="D10" s="38">
        <f>SUMIFS(qPL_Fact!$D:$D,qPL_Fact!$C:$C,$B10,qPL_Fact!$A:$A,DATE(2025,11,1))</f>
        <v/>
      </c>
      <c r="E10" s="38">
        <f>C10-D10</f>
        <v/>
      </c>
      <c r="F10" s="38">
        <f>SUMIFS(qPL_Fact!$D:$D,qPL_Fact!$C:$C,$B10,qPL_Fact!$A:$A,DATE(2025,10,1))+SUMIFS(qPL_Fact!$D:$D,qPL_Fact!$C:$C,$B10,qPL_Fact!$A:$A,DATE(2025,11,1))+SUMIFS(qPL_Fact!$D:$D,qPL_Fact!$C:$C,$B10,qPL_Fact!$A:$A,DATE(2025,12,1))</f>
        <v/>
      </c>
      <c r="G10" s="38">
        <f>SUMIFS(qPL_Fact!$D:$D,qPL_Fact!$C:$C,$B10,qPL_Fact!$A:$A,DATE(2025,7,1))+SUMIFS(qPL_Fact!$D:$D,qPL_Fact!$C:$C,$B10,qPL_Fact!$A:$A,DATE(2025,8,1))+SUMIFS(qPL_Fact!$D:$D,qPL_Fact!$C:$C,$B10,qPL_Fact!$A:$A,DATE(2025,9,1))</f>
        <v/>
      </c>
      <c r="H10" s="38">
        <f>F10-G10</f>
        <v/>
      </c>
      <c r="I10" s="38">
        <f>SUMIFS(qPL_Fact!$D:$D,qPL_Fact!$C:$C,$B10,qPL_Fact!$A:$A,DATE(2025,1,1))+SUMIFS(qPL_Fact!$D:$D,qPL_Fact!$C:$C,$B10,qPL_Fact!$A:$A,DATE(2025,2,1))+SUMIFS(qPL_Fact!$D:$D,qPL_Fact!$C:$C,$B10,qPL_Fact!$A:$A,DATE(2025,3,1))+SUMIFS(qPL_Fact!$D:$D,qPL_Fact!$C:$C,$B10,qPL_Fact!$A:$A,DATE(2025,4,1))+SUMIFS(qPL_Fact!$D:$D,qPL_Fact!$C:$C,$B10,qPL_Fact!$A:$A,DATE(2025,5,1))+SUMIFS(qPL_Fact!$D:$D,qPL_Fact!$C:$C,$B10,qPL_Fact!$A:$A,DATE(2025,6,1))+SUMIFS(qPL_Fact!$D:$D,qPL_Fact!$C:$C,$B10,qPL_Fact!$A:$A,DATE(2025,7,1))+SUMIFS(qPL_Fact!$D:$D,qPL_Fact!$C:$C,$B10,qPL_Fact!$A:$A,DATE(2025,8,1))+SUMIFS(qPL_Fact!$D:$D,qPL_Fact!$C:$C,$B10,qPL_Fact!$A:$A,DATE(2025,9,1))+SUMIFS(qPL_Fact!$D:$D,qPL_Fact!$C:$C,$B10,qPL_Fact!$A:$A,DATE(2025,10,1))+SUMIFS(qPL_Fact!$D:$D,qPL_Fact!$C:$C,$B10,qPL_Fact!$A:$A,DATE(2025,11,1))+SUMIFS(qPL_Fact!$D:$D,qPL_Fact!$C:$C,$B10,qPL_Fact!$A:$A,DATE(2025,12,1))</f>
        <v/>
      </c>
      <c r="J10" s="38">
        <f>SUMIFS(qPL_Fact!$D:$D,qPL_Fact!$C:$C,$B10,qPL_Fact!$A:$A,DATE(2024,8,1))+SUMIFS(qPL_Fact!$D:$D,qPL_Fact!$C:$C,$B10,qPL_Fact!$A:$A,DATE(2024,9,1))+SUMIFS(qPL_Fact!$D:$D,qPL_Fact!$C:$C,$B10,qPL_Fact!$A:$A,DATE(2024,10,1))+SUMIFS(qPL_Fact!$D:$D,qPL_Fact!$C:$C,$B10,qPL_Fact!$A:$A,DATE(2024,11,1))+SUMIFS(qPL_Fact!$D:$D,qPL_Fact!$C:$C,$B10,qPL_Fact!$A:$A,DATE(2024,12,1))+SUMIFS(qPL_Fact!$D:$D,qPL_Fact!$C:$C,$B10,qPL_Fact!$A:$A,DATE(2025,1,1))+SUMIFS(qPL_Fact!$D:$D,qPL_Fact!$C:$C,$B10,qPL_Fact!$A:$A,DATE(2025,2,1))+SUMIFS(qPL_Fact!$D:$D,qPL_Fact!$C:$C,$B10,qPL_Fact!$A:$A,DATE(2025,3,1))+SUMIFS(qPL_Fact!$D:$D,qPL_Fact!$C:$C,$B10,qPL_Fact!$A:$A,DATE(2025,4,1))+SUMIFS(qPL_Fact!$D:$D,qPL_Fact!$C:$C,$B10,qPL_Fact!$A:$A,DATE(2025,5,1))+SUMIFS(qPL_Fact!$D:$D,qPL_Fact!$C:$C,$B10,qPL_Fact!$A:$A,DATE(2025,6,1))+SUMIFS(qPL_Fact!$D:$D,qPL_Fact!$C:$C,$B10,qPL_Fact!$A:$A,DATE(2025,7,1))</f>
        <v/>
      </c>
      <c r="K10" s="38">
        <f>I10-J10</f>
        <v/>
      </c>
    </row>
    <row r="11">
      <c r="A11" s="39" t="n"/>
      <c r="B11" s="40" t="inlineStr">
        <is>
          <t>Effective Rental Income</t>
        </is>
      </c>
      <c r="C11" s="41">
        <f>SUMIFS(qPL_Fact!$D:$D,qPL_Fact!$C:$C,$B11,qPL_Fact!$A:$A,DATE(2025,12,1))</f>
        <v/>
      </c>
      <c r="D11" s="41">
        <f>SUMIFS(qPL_Fact!$D:$D,qPL_Fact!$C:$C,$B11,qPL_Fact!$A:$A,DATE(2025,11,1))</f>
        <v/>
      </c>
      <c r="E11" s="41">
        <f>C11-D11</f>
        <v/>
      </c>
      <c r="F11" s="41">
        <f>SUMIFS(qPL_Fact!$D:$D,qPL_Fact!$C:$C,$B11,qPL_Fact!$A:$A,DATE(2025,10,1))+SUMIFS(qPL_Fact!$D:$D,qPL_Fact!$C:$C,$B11,qPL_Fact!$A:$A,DATE(2025,11,1))+SUMIFS(qPL_Fact!$D:$D,qPL_Fact!$C:$C,$B11,qPL_Fact!$A:$A,DATE(2025,12,1))</f>
        <v/>
      </c>
      <c r="G11" s="41">
        <f>SUMIFS(qPL_Fact!$D:$D,qPL_Fact!$C:$C,$B11,qPL_Fact!$A:$A,DATE(2025,7,1))+SUMIFS(qPL_Fact!$D:$D,qPL_Fact!$C:$C,$B11,qPL_Fact!$A:$A,DATE(2025,8,1))+SUMIFS(qPL_Fact!$D:$D,qPL_Fact!$C:$C,$B11,qPL_Fact!$A:$A,DATE(2025,9,1))</f>
        <v/>
      </c>
      <c r="H11" s="41">
        <f>F11-G11</f>
        <v/>
      </c>
      <c r="I11" s="41">
        <f>SUMIFS(qPL_Fact!$D:$D,qPL_Fact!$C:$C,$B11,qPL_Fact!$A:$A,DATE(2025,1,1))+SUMIFS(qPL_Fact!$D:$D,qPL_Fact!$C:$C,$B11,qPL_Fact!$A:$A,DATE(2025,2,1))+SUMIFS(qPL_Fact!$D:$D,qPL_Fact!$C:$C,$B11,qPL_Fact!$A:$A,DATE(2025,3,1))+SUMIFS(qPL_Fact!$D:$D,qPL_Fact!$C:$C,$B11,qPL_Fact!$A:$A,DATE(2025,4,1))+SUMIFS(qPL_Fact!$D:$D,qPL_Fact!$C:$C,$B11,qPL_Fact!$A:$A,DATE(2025,5,1))+SUMIFS(qPL_Fact!$D:$D,qPL_Fact!$C:$C,$B11,qPL_Fact!$A:$A,DATE(2025,6,1))+SUMIFS(qPL_Fact!$D:$D,qPL_Fact!$C:$C,$B11,qPL_Fact!$A:$A,DATE(2025,7,1))+SUMIFS(qPL_Fact!$D:$D,qPL_Fact!$C:$C,$B11,qPL_Fact!$A:$A,DATE(2025,8,1))+SUMIFS(qPL_Fact!$D:$D,qPL_Fact!$C:$C,$B11,qPL_Fact!$A:$A,DATE(2025,9,1))+SUMIFS(qPL_Fact!$D:$D,qPL_Fact!$C:$C,$B11,qPL_Fact!$A:$A,DATE(2025,10,1))+SUMIFS(qPL_Fact!$D:$D,qPL_Fact!$C:$C,$B11,qPL_Fact!$A:$A,DATE(2025,11,1))+SUMIFS(qPL_Fact!$D:$D,qPL_Fact!$C:$C,$B11,qPL_Fact!$A:$A,DATE(2025,12,1))</f>
        <v/>
      </c>
      <c r="J11" s="41">
        <f>SUMIFS(qPL_Fact!$D:$D,qPL_Fact!$C:$C,$B11,qPL_Fact!$A:$A,DATE(2024,8,1))+SUMIFS(qPL_Fact!$D:$D,qPL_Fact!$C:$C,$B11,qPL_Fact!$A:$A,DATE(2024,9,1))+SUMIFS(qPL_Fact!$D:$D,qPL_Fact!$C:$C,$B11,qPL_Fact!$A:$A,DATE(2024,10,1))+SUMIFS(qPL_Fact!$D:$D,qPL_Fact!$C:$C,$B11,qPL_Fact!$A:$A,DATE(2024,11,1))+SUMIFS(qPL_Fact!$D:$D,qPL_Fact!$C:$C,$B11,qPL_Fact!$A:$A,DATE(2024,12,1))+SUMIFS(qPL_Fact!$D:$D,qPL_Fact!$C:$C,$B11,qPL_Fact!$A:$A,DATE(2025,1,1))+SUMIFS(qPL_Fact!$D:$D,qPL_Fact!$C:$C,$B11,qPL_Fact!$A:$A,DATE(2025,2,1))+SUMIFS(qPL_Fact!$D:$D,qPL_Fact!$C:$C,$B11,qPL_Fact!$A:$A,DATE(2025,3,1))+SUMIFS(qPL_Fact!$D:$D,qPL_Fact!$C:$C,$B11,qPL_Fact!$A:$A,DATE(2025,4,1))+SUMIFS(qPL_Fact!$D:$D,qPL_Fact!$C:$C,$B11,qPL_Fact!$A:$A,DATE(2025,5,1))+SUMIFS(qPL_Fact!$D:$D,qPL_Fact!$C:$C,$B11,qPL_Fact!$A:$A,DATE(2025,6,1))+SUMIFS(qPL_Fact!$D:$D,qPL_Fact!$C:$C,$B11,qPL_Fact!$A:$A,DATE(2025,7,1))</f>
        <v/>
      </c>
      <c r="K11" s="41">
        <f>I11-J11</f>
        <v/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 ht="20" customHeight="1">
      <c r="A13" s="6" t="n"/>
      <c r="B13" s="6" t="inlineStr">
        <is>
          <t>OTHER INCOME</t>
        </is>
      </c>
      <c r="C13" s="36">
        <f>SUMIFS(qPL_Fact!$D:$D,qPL_Fact!$C:$C,$B13,qPL_Fact!$A:$A,DATE(2025,12,1))</f>
        <v/>
      </c>
      <c r="D13" s="36">
        <f>SUMIFS(qPL_Fact!$D:$D,qPL_Fact!$C:$C,$B13,qPL_Fact!$A:$A,DATE(2025,11,1))</f>
        <v/>
      </c>
      <c r="E13" s="36">
        <f>C13-D13</f>
        <v/>
      </c>
      <c r="F13" s="36">
        <f>SUMIFS(qPL_Fact!$D:$D,qPL_Fact!$C:$C,$B13,qPL_Fact!$A:$A,DATE(2025,10,1))+SUMIFS(qPL_Fact!$D:$D,qPL_Fact!$C:$C,$B13,qPL_Fact!$A:$A,DATE(2025,11,1))+SUMIFS(qPL_Fact!$D:$D,qPL_Fact!$C:$C,$B13,qPL_Fact!$A:$A,DATE(2025,12,1))</f>
        <v/>
      </c>
      <c r="G13" s="36">
        <f>SUMIFS(qPL_Fact!$D:$D,qPL_Fact!$C:$C,$B13,qPL_Fact!$A:$A,DATE(2025,7,1))+SUMIFS(qPL_Fact!$D:$D,qPL_Fact!$C:$C,$B13,qPL_Fact!$A:$A,DATE(2025,8,1))+SUMIFS(qPL_Fact!$D:$D,qPL_Fact!$C:$C,$B13,qPL_Fact!$A:$A,DATE(2025,9,1))</f>
        <v/>
      </c>
      <c r="H13" s="36">
        <f>F13-G13</f>
        <v/>
      </c>
      <c r="I13" s="36">
        <f>SUMIFS(qPL_Fact!$D:$D,qPL_Fact!$C:$C,$B13,qPL_Fact!$A:$A,DATE(2025,1,1))+SUMIFS(qPL_Fact!$D:$D,qPL_Fact!$C:$C,$B13,qPL_Fact!$A:$A,DATE(2025,2,1))+SUMIFS(qPL_Fact!$D:$D,qPL_Fact!$C:$C,$B13,qPL_Fact!$A:$A,DATE(2025,3,1))+SUMIFS(qPL_Fact!$D:$D,qPL_Fact!$C:$C,$B13,qPL_Fact!$A:$A,DATE(2025,4,1))+SUMIFS(qPL_Fact!$D:$D,qPL_Fact!$C:$C,$B13,qPL_Fact!$A:$A,DATE(2025,5,1))+SUMIFS(qPL_Fact!$D:$D,qPL_Fact!$C:$C,$B13,qPL_Fact!$A:$A,DATE(2025,6,1))+SUMIFS(qPL_Fact!$D:$D,qPL_Fact!$C:$C,$B13,qPL_Fact!$A:$A,DATE(2025,7,1))+SUMIFS(qPL_Fact!$D:$D,qPL_Fact!$C:$C,$B13,qPL_Fact!$A:$A,DATE(2025,8,1))+SUMIFS(qPL_Fact!$D:$D,qPL_Fact!$C:$C,$B13,qPL_Fact!$A:$A,DATE(2025,9,1))+SUMIFS(qPL_Fact!$D:$D,qPL_Fact!$C:$C,$B13,qPL_Fact!$A:$A,DATE(2025,10,1))+SUMIFS(qPL_Fact!$D:$D,qPL_Fact!$C:$C,$B13,qPL_Fact!$A:$A,DATE(2025,11,1))+SUMIFS(qPL_Fact!$D:$D,qPL_Fact!$C:$C,$B13,qPL_Fact!$A:$A,DATE(2025,12,1))</f>
        <v/>
      </c>
      <c r="J13" s="36">
        <f>SUMIFS(qPL_Fact!$D:$D,qPL_Fact!$C:$C,$B13,qPL_Fact!$A:$A,DATE(2024,8,1))+SUMIFS(qPL_Fact!$D:$D,qPL_Fact!$C:$C,$B13,qPL_Fact!$A:$A,DATE(2024,9,1))+SUMIFS(qPL_Fact!$D:$D,qPL_Fact!$C:$C,$B13,qPL_Fact!$A:$A,DATE(2024,10,1))+SUMIFS(qPL_Fact!$D:$D,qPL_Fact!$C:$C,$B13,qPL_Fact!$A:$A,DATE(2024,11,1))+SUMIFS(qPL_Fact!$D:$D,qPL_Fact!$C:$C,$B13,qPL_Fact!$A:$A,DATE(2024,12,1))+SUMIFS(qPL_Fact!$D:$D,qPL_Fact!$C:$C,$B13,qPL_Fact!$A:$A,DATE(2025,1,1))+SUMIFS(qPL_Fact!$D:$D,qPL_Fact!$C:$C,$B13,qPL_Fact!$A:$A,DATE(2025,2,1))+SUMIFS(qPL_Fact!$D:$D,qPL_Fact!$C:$C,$B13,qPL_Fact!$A:$A,DATE(2025,3,1))+SUMIFS(qPL_Fact!$D:$D,qPL_Fact!$C:$C,$B13,qPL_Fact!$A:$A,DATE(2025,4,1))+SUMIFS(qPL_Fact!$D:$D,qPL_Fact!$C:$C,$B13,qPL_Fact!$A:$A,DATE(2025,5,1))+SUMIFS(qPL_Fact!$D:$D,qPL_Fact!$C:$C,$B13,qPL_Fact!$A:$A,DATE(2025,6,1))+SUMIFS(qPL_Fact!$D:$D,qPL_Fact!$C:$C,$B13,qPL_Fact!$A:$A,DATE(2025,7,1))</f>
        <v/>
      </c>
      <c r="K13" s="36">
        <f>I13-J13</f>
        <v/>
      </c>
    </row>
    <row r="14">
      <c r="A14" s="11" t="inlineStr">
        <is>
          <t>4460</t>
        </is>
      </c>
      <c r="B14" s="12" t="inlineStr">
        <is>
          <t>Late Fees</t>
        </is>
      </c>
      <c r="C14" s="38">
        <f>SUMIFS(qPL_Fact!$D:$D,qPL_Fact!$C:$C,$B14,qPL_Fact!$A:$A,DATE(2025,12,1))</f>
        <v/>
      </c>
      <c r="D14" s="38">
        <f>SUMIFS(qPL_Fact!$D:$D,qPL_Fact!$C:$C,$B14,qPL_Fact!$A:$A,DATE(2025,11,1))</f>
        <v/>
      </c>
      <c r="E14" s="38">
        <f>C14-D14</f>
        <v/>
      </c>
      <c r="F14" s="38">
        <f>SUMIFS(qPL_Fact!$D:$D,qPL_Fact!$C:$C,$B14,qPL_Fact!$A:$A,DATE(2025,10,1))+SUMIFS(qPL_Fact!$D:$D,qPL_Fact!$C:$C,$B14,qPL_Fact!$A:$A,DATE(2025,11,1))+SUMIFS(qPL_Fact!$D:$D,qPL_Fact!$C:$C,$B14,qPL_Fact!$A:$A,DATE(2025,12,1))</f>
        <v/>
      </c>
      <c r="G14" s="38">
        <f>SUMIFS(qPL_Fact!$D:$D,qPL_Fact!$C:$C,$B14,qPL_Fact!$A:$A,DATE(2025,7,1))+SUMIFS(qPL_Fact!$D:$D,qPL_Fact!$C:$C,$B14,qPL_Fact!$A:$A,DATE(2025,8,1))+SUMIFS(qPL_Fact!$D:$D,qPL_Fact!$C:$C,$B14,qPL_Fact!$A:$A,DATE(2025,9,1))</f>
        <v/>
      </c>
      <c r="H14" s="38">
        <f>F14-G14</f>
        <v/>
      </c>
      <c r="I14" s="38">
        <f>SUMIFS(qPL_Fact!$D:$D,qPL_Fact!$C:$C,$B14,qPL_Fact!$A:$A,DATE(2025,1,1))+SUMIFS(qPL_Fact!$D:$D,qPL_Fact!$C:$C,$B14,qPL_Fact!$A:$A,DATE(2025,2,1))+SUMIFS(qPL_Fact!$D:$D,qPL_Fact!$C:$C,$B14,qPL_Fact!$A:$A,DATE(2025,3,1))+SUMIFS(qPL_Fact!$D:$D,qPL_Fact!$C:$C,$B14,qPL_Fact!$A:$A,DATE(2025,4,1))+SUMIFS(qPL_Fact!$D:$D,qPL_Fact!$C:$C,$B14,qPL_Fact!$A:$A,DATE(2025,5,1))+SUMIFS(qPL_Fact!$D:$D,qPL_Fact!$C:$C,$B14,qPL_Fact!$A:$A,DATE(2025,6,1))+SUMIFS(qPL_Fact!$D:$D,qPL_Fact!$C:$C,$B14,qPL_Fact!$A:$A,DATE(2025,7,1))+SUMIFS(qPL_Fact!$D:$D,qPL_Fact!$C:$C,$B14,qPL_Fact!$A:$A,DATE(2025,8,1))+SUMIFS(qPL_Fact!$D:$D,qPL_Fact!$C:$C,$B14,qPL_Fact!$A:$A,DATE(2025,9,1))+SUMIFS(qPL_Fact!$D:$D,qPL_Fact!$C:$C,$B14,qPL_Fact!$A:$A,DATE(2025,10,1))+SUMIFS(qPL_Fact!$D:$D,qPL_Fact!$C:$C,$B14,qPL_Fact!$A:$A,DATE(2025,11,1))+SUMIFS(qPL_Fact!$D:$D,qPL_Fact!$C:$C,$B14,qPL_Fact!$A:$A,DATE(2025,12,1))</f>
        <v/>
      </c>
      <c r="J14" s="38">
        <f>SUMIFS(qPL_Fact!$D:$D,qPL_Fact!$C:$C,$B14,qPL_Fact!$A:$A,DATE(2024,8,1))+SUMIFS(qPL_Fact!$D:$D,qPL_Fact!$C:$C,$B14,qPL_Fact!$A:$A,DATE(2024,9,1))+SUMIFS(qPL_Fact!$D:$D,qPL_Fact!$C:$C,$B14,qPL_Fact!$A:$A,DATE(2024,10,1))+SUMIFS(qPL_Fact!$D:$D,qPL_Fact!$C:$C,$B14,qPL_Fact!$A:$A,DATE(2024,11,1))+SUMIFS(qPL_Fact!$D:$D,qPL_Fact!$C:$C,$B14,qPL_Fact!$A:$A,DATE(2024,12,1))+SUMIFS(qPL_Fact!$D:$D,qPL_Fact!$C:$C,$B14,qPL_Fact!$A:$A,DATE(2025,1,1))+SUMIFS(qPL_Fact!$D:$D,qPL_Fact!$C:$C,$B14,qPL_Fact!$A:$A,DATE(2025,2,1))+SUMIFS(qPL_Fact!$D:$D,qPL_Fact!$C:$C,$B14,qPL_Fact!$A:$A,DATE(2025,3,1))+SUMIFS(qPL_Fact!$D:$D,qPL_Fact!$C:$C,$B14,qPL_Fact!$A:$A,DATE(2025,4,1))+SUMIFS(qPL_Fact!$D:$D,qPL_Fact!$C:$C,$B14,qPL_Fact!$A:$A,DATE(2025,5,1))+SUMIFS(qPL_Fact!$D:$D,qPL_Fact!$C:$C,$B14,qPL_Fact!$A:$A,DATE(2025,6,1))+SUMIFS(qPL_Fact!$D:$D,qPL_Fact!$C:$C,$B14,qPL_Fact!$A:$A,DATE(2025,7,1))</f>
        <v/>
      </c>
      <c r="K14" s="38">
        <f>I14-J14</f>
        <v/>
      </c>
    </row>
    <row r="15">
      <c r="A15" s="8" t="inlineStr">
        <is>
          <t>4490</t>
        </is>
      </c>
      <c r="B15" s="10" t="inlineStr">
        <is>
          <t>Move-In Fees</t>
        </is>
      </c>
      <c r="C15" s="37">
        <f>SUMIFS(qPL_Fact!$D:$D,qPL_Fact!$C:$C,$B15,qPL_Fact!$A:$A,DATE(2025,12,1))</f>
        <v/>
      </c>
      <c r="D15" s="37">
        <f>SUMIFS(qPL_Fact!$D:$D,qPL_Fact!$C:$C,$B15,qPL_Fact!$A:$A,DATE(2025,11,1))</f>
        <v/>
      </c>
      <c r="E15" s="37">
        <f>C15-D15</f>
        <v/>
      </c>
      <c r="F15" s="37">
        <f>SUMIFS(qPL_Fact!$D:$D,qPL_Fact!$C:$C,$B15,qPL_Fact!$A:$A,DATE(2025,10,1))+SUMIFS(qPL_Fact!$D:$D,qPL_Fact!$C:$C,$B15,qPL_Fact!$A:$A,DATE(2025,11,1))+SUMIFS(qPL_Fact!$D:$D,qPL_Fact!$C:$C,$B15,qPL_Fact!$A:$A,DATE(2025,12,1))</f>
        <v/>
      </c>
      <c r="G15" s="37">
        <f>SUMIFS(qPL_Fact!$D:$D,qPL_Fact!$C:$C,$B15,qPL_Fact!$A:$A,DATE(2025,7,1))+SUMIFS(qPL_Fact!$D:$D,qPL_Fact!$C:$C,$B15,qPL_Fact!$A:$A,DATE(2025,8,1))+SUMIFS(qPL_Fact!$D:$D,qPL_Fact!$C:$C,$B15,qPL_Fact!$A:$A,DATE(2025,9,1))</f>
        <v/>
      </c>
      <c r="H15" s="37">
        <f>F15-G15</f>
        <v/>
      </c>
      <c r="I15" s="37">
        <f>SUMIFS(qPL_Fact!$D:$D,qPL_Fact!$C:$C,$B15,qPL_Fact!$A:$A,DATE(2025,1,1))+SUMIFS(qPL_Fact!$D:$D,qPL_Fact!$C:$C,$B15,qPL_Fact!$A:$A,DATE(2025,2,1))+SUMIFS(qPL_Fact!$D:$D,qPL_Fact!$C:$C,$B15,qPL_Fact!$A:$A,DATE(2025,3,1))+SUMIFS(qPL_Fact!$D:$D,qPL_Fact!$C:$C,$B15,qPL_Fact!$A:$A,DATE(2025,4,1))+SUMIFS(qPL_Fact!$D:$D,qPL_Fact!$C:$C,$B15,qPL_Fact!$A:$A,DATE(2025,5,1))+SUMIFS(qPL_Fact!$D:$D,qPL_Fact!$C:$C,$B15,qPL_Fact!$A:$A,DATE(2025,6,1))+SUMIFS(qPL_Fact!$D:$D,qPL_Fact!$C:$C,$B15,qPL_Fact!$A:$A,DATE(2025,7,1))+SUMIFS(qPL_Fact!$D:$D,qPL_Fact!$C:$C,$B15,qPL_Fact!$A:$A,DATE(2025,8,1))+SUMIFS(qPL_Fact!$D:$D,qPL_Fact!$C:$C,$B15,qPL_Fact!$A:$A,DATE(2025,9,1))+SUMIFS(qPL_Fact!$D:$D,qPL_Fact!$C:$C,$B15,qPL_Fact!$A:$A,DATE(2025,10,1))+SUMIFS(qPL_Fact!$D:$D,qPL_Fact!$C:$C,$B15,qPL_Fact!$A:$A,DATE(2025,11,1))+SUMIFS(qPL_Fact!$D:$D,qPL_Fact!$C:$C,$B15,qPL_Fact!$A:$A,DATE(2025,12,1))</f>
        <v/>
      </c>
      <c r="J15" s="37">
        <f>SUMIFS(qPL_Fact!$D:$D,qPL_Fact!$C:$C,$B15,qPL_Fact!$A:$A,DATE(2024,8,1))+SUMIFS(qPL_Fact!$D:$D,qPL_Fact!$C:$C,$B15,qPL_Fact!$A:$A,DATE(2024,9,1))+SUMIFS(qPL_Fact!$D:$D,qPL_Fact!$C:$C,$B15,qPL_Fact!$A:$A,DATE(2024,10,1))+SUMIFS(qPL_Fact!$D:$D,qPL_Fact!$C:$C,$B15,qPL_Fact!$A:$A,DATE(2024,11,1))+SUMIFS(qPL_Fact!$D:$D,qPL_Fact!$C:$C,$B15,qPL_Fact!$A:$A,DATE(2024,12,1))+SUMIFS(qPL_Fact!$D:$D,qPL_Fact!$C:$C,$B15,qPL_Fact!$A:$A,DATE(2025,1,1))+SUMIFS(qPL_Fact!$D:$D,qPL_Fact!$C:$C,$B15,qPL_Fact!$A:$A,DATE(2025,2,1))+SUMIFS(qPL_Fact!$D:$D,qPL_Fact!$C:$C,$B15,qPL_Fact!$A:$A,DATE(2025,3,1))+SUMIFS(qPL_Fact!$D:$D,qPL_Fact!$C:$C,$B15,qPL_Fact!$A:$A,DATE(2025,4,1))+SUMIFS(qPL_Fact!$D:$D,qPL_Fact!$C:$C,$B15,qPL_Fact!$A:$A,DATE(2025,5,1))+SUMIFS(qPL_Fact!$D:$D,qPL_Fact!$C:$C,$B15,qPL_Fact!$A:$A,DATE(2025,6,1))+SUMIFS(qPL_Fact!$D:$D,qPL_Fact!$C:$C,$B15,qPL_Fact!$A:$A,DATE(2025,7,1))</f>
        <v/>
      </c>
      <c r="K15" s="37">
        <f>I15-J15</f>
        <v/>
      </c>
    </row>
    <row r="16">
      <c r="A16" s="11" t="inlineStr">
        <is>
          <t>4440</t>
        </is>
      </c>
      <c r="B16" s="12" t="inlineStr">
        <is>
          <t>Application Fees</t>
        </is>
      </c>
      <c r="C16" s="38">
        <f>SUMIFS(qPL_Fact!$D:$D,qPL_Fact!$C:$C,$B16,qPL_Fact!$A:$A,DATE(2025,12,1))</f>
        <v/>
      </c>
      <c r="D16" s="38">
        <f>SUMIFS(qPL_Fact!$D:$D,qPL_Fact!$C:$C,$B16,qPL_Fact!$A:$A,DATE(2025,11,1))</f>
        <v/>
      </c>
      <c r="E16" s="38">
        <f>C16-D16</f>
        <v/>
      </c>
      <c r="F16" s="38">
        <f>SUMIFS(qPL_Fact!$D:$D,qPL_Fact!$C:$C,$B16,qPL_Fact!$A:$A,DATE(2025,10,1))+SUMIFS(qPL_Fact!$D:$D,qPL_Fact!$C:$C,$B16,qPL_Fact!$A:$A,DATE(2025,11,1))+SUMIFS(qPL_Fact!$D:$D,qPL_Fact!$C:$C,$B16,qPL_Fact!$A:$A,DATE(2025,12,1))</f>
        <v/>
      </c>
      <c r="G16" s="38">
        <f>SUMIFS(qPL_Fact!$D:$D,qPL_Fact!$C:$C,$B16,qPL_Fact!$A:$A,DATE(2025,7,1))+SUMIFS(qPL_Fact!$D:$D,qPL_Fact!$C:$C,$B16,qPL_Fact!$A:$A,DATE(2025,8,1))+SUMIFS(qPL_Fact!$D:$D,qPL_Fact!$C:$C,$B16,qPL_Fact!$A:$A,DATE(2025,9,1))</f>
        <v/>
      </c>
      <c r="H16" s="38">
        <f>F16-G16</f>
        <v/>
      </c>
      <c r="I16" s="38">
        <f>SUMIFS(qPL_Fact!$D:$D,qPL_Fact!$C:$C,$B16,qPL_Fact!$A:$A,DATE(2025,1,1))+SUMIFS(qPL_Fact!$D:$D,qPL_Fact!$C:$C,$B16,qPL_Fact!$A:$A,DATE(2025,2,1))+SUMIFS(qPL_Fact!$D:$D,qPL_Fact!$C:$C,$B16,qPL_Fact!$A:$A,DATE(2025,3,1))+SUMIFS(qPL_Fact!$D:$D,qPL_Fact!$C:$C,$B16,qPL_Fact!$A:$A,DATE(2025,4,1))+SUMIFS(qPL_Fact!$D:$D,qPL_Fact!$C:$C,$B16,qPL_Fact!$A:$A,DATE(2025,5,1))+SUMIFS(qPL_Fact!$D:$D,qPL_Fact!$C:$C,$B16,qPL_Fact!$A:$A,DATE(2025,6,1))+SUMIFS(qPL_Fact!$D:$D,qPL_Fact!$C:$C,$B16,qPL_Fact!$A:$A,DATE(2025,7,1))+SUMIFS(qPL_Fact!$D:$D,qPL_Fact!$C:$C,$B16,qPL_Fact!$A:$A,DATE(2025,8,1))+SUMIFS(qPL_Fact!$D:$D,qPL_Fact!$C:$C,$B16,qPL_Fact!$A:$A,DATE(2025,9,1))+SUMIFS(qPL_Fact!$D:$D,qPL_Fact!$C:$C,$B16,qPL_Fact!$A:$A,DATE(2025,10,1))+SUMIFS(qPL_Fact!$D:$D,qPL_Fact!$C:$C,$B16,qPL_Fact!$A:$A,DATE(2025,11,1))+SUMIFS(qPL_Fact!$D:$D,qPL_Fact!$C:$C,$B16,qPL_Fact!$A:$A,DATE(2025,12,1))</f>
        <v/>
      </c>
      <c r="J16" s="38">
        <f>SUMIFS(qPL_Fact!$D:$D,qPL_Fact!$C:$C,$B16,qPL_Fact!$A:$A,DATE(2024,8,1))+SUMIFS(qPL_Fact!$D:$D,qPL_Fact!$C:$C,$B16,qPL_Fact!$A:$A,DATE(2024,9,1))+SUMIFS(qPL_Fact!$D:$D,qPL_Fact!$C:$C,$B16,qPL_Fact!$A:$A,DATE(2024,10,1))+SUMIFS(qPL_Fact!$D:$D,qPL_Fact!$C:$C,$B16,qPL_Fact!$A:$A,DATE(2024,11,1))+SUMIFS(qPL_Fact!$D:$D,qPL_Fact!$C:$C,$B16,qPL_Fact!$A:$A,DATE(2024,12,1))+SUMIFS(qPL_Fact!$D:$D,qPL_Fact!$C:$C,$B16,qPL_Fact!$A:$A,DATE(2025,1,1))+SUMIFS(qPL_Fact!$D:$D,qPL_Fact!$C:$C,$B16,qPL_Fact!$A:$A,DATE(2025,2,1))+SUMIFS(qPL_Fact!$D:$D,qPL_Fact!$C:$C,$B16,qPL_Fact!$A:$A,DATE(2025,3,1))+SUMIFS(qPL_Fact!$D:$D,qPL_Fact!$C:$C,$B16,qPL_Fact!$A:$A,DATE(2025,4,1))+SUMIFS(qPL_Fact!$D:$D,qPL_Fact!$C:$C,$B16,qPL_Fact!$A:$A,DATE(2025,5,1))+SUMIFS(qPL_Fact!$D:$D,qPL_Fact!$C:$C,$B16,qPL_Fact!$A:$A,DATE(2025,6,1))+SUMIFS(qPL_Fact!$D:$D,qPL_Fact!$C:$C,$B16,qPL_Fact!$A:$A,DATE(2025,7,1))</f>
        <v/>
      </c>
      <c r="K16" s="38">
        <f>I16-J16</f>
        <v/>
      </c>
    </row>
    <row r="17">
      <c r="A17" s="8" t="inlineStr">
        <is>
          <t>4415</t>
        </is>
      </c>
      <c r="B17" s="10" t="inlineStr">
        <is>
          <t>Internet Charges</t>
        </is>
      </c>
      <c r="C17" s="37">
        <f>SUMIFS(qPL_Fact!$D:$D,qPL_Fact!$C:$C,$B17,qPL_Fact!$A:$A,DATE(2025,12,1))</f>
        <v/>
      </c>
      <c r="D17" s="37">
        <f>SUMIFS(qPL_Fact!$D:$D,qPL_Fact!$C:$C,$B17,qPL_Fact!$A:$A,DATE(2025,11,1))</f>
        <v/>
      </c>
      <c r="E17" s="37">
        <f>C17-D17</f>
        <v/>
      </c>
      <c r="F17" s="37">
        <f>SUMIFS(qPL_Fact!$D:$D,qPL_Fact!$C:$C,$B17,qPL_Fact!$A:$A,DATE(2025,10,1))+SUMIFS(qPL_Fact!$D:$D,qPL_Fact!$C:$C,$B17,qPL_Fact!$A:$A,DATE(2025,11,1))+SUMIFS(qPL_Fact!$D:$D,qPL_Fact!$C:$C,$B17,qPL_Fact!$A:$A,DATE(2025,12,1))</f>
        <v/>
      </c>
      <c r="G17" s="37">
        <f>SUMIFS(qPL_Fact!$D:$D,qPL_Fact!$C:$C,$B17,qPL_Fact!$A:$A,DATE(2025,7,1))+SUMIFS(qPL_Fact!$D:$D,qPL_Fact!$C:$C,$B17,qPL_Fact!$A:$A,DATE(2025,8,1))+SUMIFS(qPL_Fact!$D:$D,qPL_Fact!$C:$C,$B17,qPL_Fact!$A:$A,DATE(2025,9,1))</f>
        <v/>
      </c>
      <c r="H17" s="37">
        <f>F17-G17</f>
        <v/>
      </c>
      <c r="I17" s="37">
        <f>SUMIFS(qPL_Fact!$D:$D,qPL_Fact!$C:$C,$B17,qPL_Fact!$A:$A,DATE(2025,1,1))+SUMIFS(qPL_Fact!$D:$D,qPL_Fact!$C:$C,$B17,qPL_Fact!$A:$A,DATE(2025,2,1))+SUMIFS(qPL_Fact!$D:$D,qPL_Fact!$C:$C,$B17,qPL_Fact!$A:$A,DATE(2025,3,1))+SUMIFS(qPL_Fact!$D:$D,qPL_Fact!$C:$C,$B17,qPL_Fact!$A:$A,DATE(2025,4,1))+SUMIFS(qPL_Fact!$D:$D,qPL_Fact!$C:$C,$B17,qPL_Fact!$A:$A,DATE(2025,5,1))+SUMIFS(qPL_Fact!$D:$D,qPL_Fact!$C:$C,$B17,qPL_Fact!$A:$A,DATE(2025,6,1))+SUMIFS(qPL_Fact!$D:$D,qPL_Fact!$C:$C,$B17,qPL_Fact!$A:$A,DATE(2025,7,1))+SUMIFS(qPL_Fact!$D:$D,qPL_Fact!$C:$C,$B17,qPL_Fact!$A:$A,DATE(2025,8,1))+SUMIFS(qPL_Fact!$D:$D,qPL_Fact!$C:$C,$B17,qPL_Fact!$A:$A,DATE(2025,9,1))+SUMIFS(qPL_Fact!$D:$D,qPL_Fact!$C:$C,$B17,qPL_Fact!$A:$A,DATE(2025,10,1))+SUMIFS(qPL_Fact!$D:$D,qPL_Fact!$C:$C,$B17,qPL_Fact!$A:$A,DATE(2025,11,1))+SUMIFS(qPL_Fact!$D:$D,qPL_Fact!$C:$C,$B17,qPL_Fact!$A:$A,DATE(2025,12,1))</f>
        <v/>
      </c>
      <c r="J17" s="37">
        <f>SUMIFS(qPL_Fact!$D:$D,qPL_Fact!$C:$C,$B17,qPL_Fact!$A:$A,DATE(2024,8,1))+SUMIFS(qPL_Fact!$D:$D,qPL_Fact!$C:$C,$B17,qPL_Fact!$A:$A,DATE(2024,9,1))+SUMIFS(qPL_Fact!$D:$D,qPL_Fact!$C:$C,$B17,qPL_Fact!$A:$A,DATE(2024,10,1))+SUMIFS(qPL_Fact!$D:$D,qPL_Fact!$C:$C,$B17,qPL_Fact!$A:$A,DATE(2024,11,1))+SUMIFS(qPL_Fact!$D:$D,qPL_Fact!$C:$C,$B17,qPL_Fact!$A:$A,DATE(2024,12,1))+SUMIFS(qPL_Fact!$D:$D,qPL_Fact!$C:$C,$B17,qPL_Fact!$A:$A,DATE(2025,1,1))+SUMIFS(qPL_Fact!$D:$D,qPL_Fact!$C:$C,$B17,qPL_Fact!$A:$A,DATE(2025,2,1))+SUMIFS(qPL_Fact!$D:$D,qPL_Fact!$C:$C,$B17,qPL_Fact!$A:$A,DATE(2025,3,1))+SUMIFS(qPL_Fact!$D:$D,qPL_Fact!$C:$C,$B17,qPL_Fact!$A:$A,DATE(2025,4,1))+SUMIFS(qPL_Fact!$D:$D,qPL_Fact!$C:$C,$B17,qPL_Fact!$A:$A,DATE(2025,5,1))+SUMIFS(qPL_Fact!$D:$D,qPL_Fact!$C:$C,$B17,qPL_Fact!$A:$A,DATE(2025,6,1))+SUMIFS(qPL_Fact!$D:$D,qPL_Fact!$C:$C,$B17,qPL_Fact!$A:$A,DATE(2025,7,1))</f>
        <v/>
      </c>
      <c r="K17" s="37">
        <f>I17-J17</f>
        <v/>
      </c>
    </row>
    <row r="18">
      <c r="A18" s="11" t="inlineStr">
        <is>
          <t>4450</t>
        </is>
      </c>
      <c r="B18" s="12" t="inlineStr">
        <is>
          <t>Insurance Services</t>
        </is>
      </c>
      <c r="C18" s="38">
        <f>SUMIFS(qPL_Fact!$D:$D,qPL_Fact!$C:$C,$B18,qPL_Fact!$A:$A,DATE(2025,12,1))</f>
        <v/>
      </c>
      <c r="D18" s="38">
        <f>SUMIFS(qPL_Fact!$D:$D,qPL_Fact!$C:$C,$B18,qPL_Fact!$A:$A,DATE(2025,11,1))</f>
        <v/>
      </c>
      <c r="E18" s="38">
        <f>C18-D18</f>
        <v/>
      </c>
      <c r="F18" s="38">
        <f>SUMIFS(qPL_Fact!$D:$D,qPL_Fact!$C:$C,$B18,qPL_Fact!$A:$A,DATE(2025,10,1))+SUMIFS(qPL_Fact!$D:$D,qPL_Fact!$C:$C,$B18,qPL_Fact!$A:$A,DATE(2025,11,1))+SUMIFS(qPL_Fact!$D:$D,qPL_Fact!$C:$C,$B18,qPL_Fact!$A:$A,DATE(2025,12,1))</f>
        <v/>
      </c>
      <c r="G18" s="38">
        <f>SUMIFS(qPL_Fact!$D:$D,qPL_Fact!$C:$C,$B18,qPL_Fact!$A:$A,DATE(2025,7,1))+SUMIFS(qPL_Fact!$D:$D,qPL_Fact!$C:$C,$B18,qPL_Fact!$A:$A,DATE(2025,8,1))+SUMIFS(qPL_Fact!$D:$D,qPL_Fact!$C:$C,$B18,qPL_Fact!$A:$A,DATE(2025,9,1))</f>
        <v/>
      </c>
      <c r="H18" s="38">
        <f>F18-G18</f>
        <v/>
      </c>
      <c r="I18" s="38">
        <f>SUMIFS(qPL_Fact!$D:$D,qPL_Fact!$C:$C,$B18,qPL_Fact!$A:$A,DATE(2025,1,1))+SUMIFS(qPL_Fact!$D:$D,qPL_Fact!$C:$C,$B18,qPL_Fact!$A:$A,DATE(2025,2,1))+SUMIFS(qPL_Fact!$D:$D,qPL_Fact!$C:$C,$B18,qPL_Fact!$A:$A,DATE(2025,3,1))+SUMIFS(qPL_Fact!$D:$D,qPL_Fact!$C:$C,$B18,qPL_Fact!$A:$A,DATE(2025,4,1))+SUMIFS(qPL_Fact!$D:$D,qPL_Fact!$C:$C,$B18,qPL_Fact!$A:$A,DATE(2025,5,1))+SUMIFS(qPL_Fact!$D:$D,qPL_Fact!$C:$C,$B18,qPL_Fact!$A:$A,DATE(2025,6,1))+SUMIFS(qPL_Fact!$D:$D,qPL_Fact!$C:$C,$B18,qPL_Fact!$A:$A,DATE(2025,7,1))+SUMIFS(qPL_Fact!$D:$D,qPL_Fact!$C:$C,$B18,qPL_Fact!$A:$A,DATE(2025,8,1))+SUMIFS(qPL_Fact!$D:$D,qPL_Fact!$C:$C,$B18,qPL_Fact!$A:$A,DATE(2025,9,1))+SUMIFS(qPL_Fact!$D:$D,qPL_Fact!$C:$C,$B18,qPL_Fact!$A:$A,DATE(2025,10,1))+SUMIFS(qPL_Fact!$D:$D,qPL_Fact!$C:$C,$B18,qPL_Fact!$A:$A,DATE(2025,11,1))+SUMIFS(qPL_Fact!$D:$D,qPL_Fact!$C:$C,$B18,qPL_Fact!$A:$A,DATE(2025,12,1))</f>
        <v/>
      </c>
      <c r="J18" s="38">
        <f>SUMIFS(qPL_Fact!$D:$D,qPL_Fact!$C:$C,$B18,qPL_Fact!$A:$A,DATE(2024,8,1))+SUMIFS(qPL_Fact!$D:$D,qPL_Fact!$C:$C,$B18,qPL_Fact!$A:$A,DATE(2024,9,1))+SUMIFS(qPL_Fact!$D:$D,qPL_Fact!$C:$C,$B18,qPL_Fact!$A:$A,DATE(2024,10,1))+SUMIFS(qPL_Fact!$D:$D,qPL_Fact!$C:$C,$B18,qPL_Fact!$A:$A,DATE(2024,11,1))+SUMIFS(qPL_Fact!$D:$D,qPL_Fact!$C:$C,$B18,qPL_Fact!$A:$A,DATE(2024,12,1))+SUMIFS(qPL_Fact!$D:$D,qPL_Fact!$C:$C,$B18,qPL_Fact!$A:$A,DATE(2025,1,1))+SUMIFS(qPL_Fact!$D:$D,qPL_Fact!$C:$C,$B18,qPL_Fact!$A:$A,DATE(2025,2,1))+SUMIFS(qPL_Fact!$D:$D,qPL_Fact!$C:$C,$B18,qPL_Fact!$A:$A,DATE(2025,3,1))+SUMIFS(qPL_Fact!$D:$D,qPL_Fact!$C:$C,$B18,qPL_Fact!$A:$A,DATE(2025,4,1))+SUMIFS(qPL_Fact!$D:$D,qPL_Fact!$C:$C,$B18,qPL_Fact!$A:$A,DATE(2025,5,1))+SUMIFS(qPL_Fact!$D:$D,qPL_Fact!$C:$C,$B18,qPL_Fact!$A:$A,DATE(2025,6,1))+SUMIFS(qPL_Fact!$D:$D,qPL_Fact!$C:$C,$B18,qPL_Fact!$A:$A,DATE(2025,7,1))</f>
        <v/>
      </c>
      <c r="K18" s="38">
        <f>I18-J18</f>
        <v/>
      </c>
    </row>
    <row r="19">
      <c r="A19" s="23" t="n"/>
      <c r="B19" s="10" t="inlineStr">
        <is>
          <t>Interest Income</t>
        </is>
      </c>
      <c r="C19" s="37">
        <f>SUMIFS(qPL_Fact!$D:$D,qPL_Fact!$C:$C,$B19,qPL_Fact!$A:$A,DATE(2025,12,1))</f>
        <v/>
      </c>
      <c r="D19" s="37">
        <f>SUMIFS(qPL_Fact!$D:$D,qPL_Fact!$C:$C,$B19,qPL_Fact!$A:$A,DATE(2025,11,1))</f>
        <v/>
      </c>
      <c r="E19" s="37">
        <f>C19-D19</f>
        <v/>
      </c>
      <c r="F19" s="37">
        <f>SUMIFS(qPL_Fact!$D:$D,qPL_Fact!$C:$C,$B19,qPL_Fact!$A:$A,DATE(2025,10,1))+SUMIFS(qPL_Fact!$D:$D,qPL_Fact!$C:$C,$B19,qPL_Fact!$A:$A,DATE(2025,11,1))+SUMIFS(qPL_Fact!$D:$D,qPL_Fact!$C:$C,$B19,qPL_Fact!$A:$A,DATE(2025,12,1))</f>
        <v/>
      </c>
      <c r="G19" s="37">
        <f>SUMIFS(qPL_Fact!$D:$D,qPL_Fact!$C:$C,$B19,qPL_Fact!$A:$A,DATE(2025,7,1))+SUMIFS(qPL_Fact!$D:$D,qPL_Fact!$C:$C,$B19,qPL_Fact!$A:$A,DATE(2025,8,1))+SUMIFS(qPL_Fact!$D:$D,qPL_Fact!$C:$C,$B19,qPL_Fact!$A:$A,DATE(2025,9,1))</f>
        <v/>
      </c>
      <c r="H19" s="37">
        <f>F19-G19</f>
        <v/>
      </c>
      <c r="I19" s="37">
        <f>SUMIFS(qPL_Fact!$D:$D,qPL_Fact!$C:$C,$B19,qPL_Fact!$A:$A,DATE(2025,1,1))+SUMIFS(qPL_Fact!$D:$D,qPL_Fact!$C:$C,$B19,qPL_Fact!$A:$A,DATE(2025,2,1))+SUMIFS(qPL_Fact!$D:$D,qPL_Fact!$C:$C,$B19,qPL_Fact!$A:$A,DATE(2025,3,1))+SUMIFS(qPL_Fact!$D:$D,qPL_Fact!$C:$C,$B19,qPL_Fact!$A:$A,DATE(2025,4,1))+SUMIFS(qPL_Fact!$D:$D,qPL_Fact!$C:$C,$B19,qPL_Fact!$A:$A,DATE(2025,5,1))+SUMIFS(qPL_Fact!$D:$D,qPL_Fact!$C:$C,$B19,qPL_Fact!$A:$A,DATE(2025,6,1))+SUMIFS(qPL_Fact!$D:$D,qPL_Fact!$C:$C,$B19,qPL_Fact!$A:$A,DATE(2025,7,1))+SUMIFS(qPL_Fact!$D:$D,qPL_Fact!$C:$C,$B19,qPL_Fact!$A:$A,DATE(2025,8,1))+SUMIFS(qPL_Fact!$D:$D,qPL_Fact!$C:$C,$B19,qPL_Fact!$A:$A,DATE(2025,9,1))+SUMIFS(qPL_Fact!$D:$D,qPL_Fact!$C:$C,$B19,qPL_Fact!$A:$A,DATE(2025,10,1))+SUMIFS(qPL_Fact!$D:$D,qPL_Fact!$C:$C,$B19,qPL_Fact!$A:$A,DATE(2025,11,1))+SUMIFS(qPL_Fact!$D:$D,qPL_Fact!$C:$C,$B19,qPL_Fact!$A:$A,DATE(2025,12,1))</f>
        <v/>
      </c>
      <c r="J19" s="37">
        <f>SUMIFS(qPL_Fact!$D:$D,qPL_Fact!$C:$C,$B19,qPL_Fact!$A:$A,DATE(2024,8,1))+SUMIFS(qPL_Fact!$D:$D,qPL_Fact!$C:$C,$B19,qPL_Fact!$A:$A,DATE(2024,9,1))+SUMIFS(qPL_Fact!$D:$D,qPL_Fact!$C:$C,$B19,qPL_Fact!$A:$A,DATE(2024,10,1))+SUMIFS(qPL_Fact!$D:$D,qPL_Fact!$C:$C,$B19,qPL_Fact!$A:$A,DATE(2024,11,1))+SUMIFS(qPL_Fact!$D:$D,qPL_Fact!$C:$C,$B19,qPL_Fact!$A:$A,DATE(2024,12,1))+SUMIFS(qPL_Fact!$D:$D,qPL_Fact!$C:$C,$B19,qPL_Fact!$A:$A,DATE(2025,1,1))+SUMIFS(qPL_Fact!$D:$D,qPL_Fact!$C:$C,$B19,qPL_Fact!$A:$A,DATE(2025,2,1))+SUMIFS(qPL_Fact!$D:$D,qPL_Fact!$C:$C,$B19,qPL_Fact!$A:$A,DATE(2025,3,1))+SUMIFS(qPL_Fact!$D:$D,qPL_Fact!$C:$C,$B19,qPL_Fact!$A:$A,DATE(2025,4,1))+SUMIFS(qPL_Fact!$D:$D,qPL_Fact!$C:$C,$B19,qPL_Fact!$A:$A,DATE(2025,5,1))+SUMIFS(qPL_Fact!$D:$D,qPL_Fact!$C:$C,$B19,qPL_Fact!$A:$A,DATE(2025,6,1))+SUMIFS(qPL_Fact!$D:$D,qPL_Fact!$C:$C,$B19,qPL_Fact!$A:$A,DATE(2025,7,1))</f>
        <v/>
      </c>
      <c r="K19" s="37">
        <f>I19-J19</f>
        <v/>
      </c>
    </row>
    <row r="20">
      <c r="A20" s="11" t="inlineStr">
        <is>
          <t>4730</t>
        </is>
      </c>
      <c r="B20" s="12" t="inlineStr">
        <is>
          <t>Utility Reimbursement</t>
        </is>
      </c>
      <c r="C20" s="38">
        <f>SUMIFS(qPL_Fact!$D:$D,qPL_Fact!$C:$C,$B20,qPL_Fact!$A:$A,DATE(2025,12,1))</f>
        <v/>
      </c>
      <c r="D20" s="38">
        <f>SUMIFS(qPL_Fact!$D:$D,qPL_Fact!$C:$C,$B20,qPL_Fact!$A:$A,DATE(2025,11,1))</f>
        <v/>
      </c>
      <c r="E20" s="38">
        <f>C20-D20</f>
        <v/>
      </c>
      <c r="F20" s="38">
        <f>SUMIFS(qPL_Fact!$D:$D,qPL_Fact!$C:$C,$B20,qPL_Fact!$A:$A,DATE(2025,10,1))+SUMIFS(qPL_Fact!$D:$D,qPL_Fact!$C:$C,$B20,qPL_Fact!$A:$A,DATE(2025,11,1))+SUMIFS(qPL_Fact!$D:$D,qPL_Fact!$C:$C,$B20,qPL_Fact!$A:$A,DATE(2025,12,1))</f>
        <v/>
      </c>
      <c r="G20" s="38">
        <f>SUMIFS(qPL_Fact!$D:$D,qPL_Fact!$C:$C,$B20,qPL_Fact!$A:$A,DATE(2025,7,1))+SUMIFS(qPL_Fact!$D:$D,qPL_Fact!$C:$C,$B20,qPL_Fact!$A:$A,DATE(2025,8,1))+SUMIFS(qPL_Fact!$D:$D,qPL_Fact!$C:$C,$B20,qPL_Fact!$A:$A,DATE(2025,9,1))</f>
        <v/>
      </c>
      <c r="H20" s="38">
        <f>F20-G20</f>
        <v/>
      </c>
      <c r="I20" s="38">
        <f>SUMIFS(qPL_Fact!$D:$D,qPL_Fact!$C:$C,$B20,qPL_Fact!$A:$A,DATE(2025,1,1))+SUMIFS(qPL_Fact!$D:$D,qPL_Fact!$C:$C,$B20,qPL_Fact!$A:$A,DATE(2025,2,1))+SUMIFS(qPL_Fact!$D:$D,qPL_Fact!$C:$C,$B20,qPL_Fact!$A:$A,DATE(2025,3,1))+SUMIFS(qPL_Fact!$D:$D,qPL_Fact!$C:$C,$B20,qPL_Fact!$A:$A,DATE(2025,4,1))+SUMIFS(qPL_Fact!$D:$D,qPL_Fact!$C:$C,$B20,qPL_Fact!$A:$A,DATE(2025,5,1))+SUMIFS(qPL_Fact!$D:$D,qPL_Fact!$C:$C,$B20,qPL_Fact!$A:$A,DATE(2025,6,1))+SUMIFS(qPL_Fact!$D:$D,qPL_Fact!$C:$C,$B20,qPL_Fact!$A:$A,DATE(2025,7,1))+SUMIFS(qPL_Fact!$D:$D,qPL_Fact!$C:$C,$B20,qPL_Fact!$A:$A,DATE(2025,8,1))+SUMIFS(qPL_Fact!$D:$D,qPL_Fact!$C:$C,$B20,qPL_Fact!$A:$A,DATE(2025,9,1))+SUMIFS(qPL_Fact!$D:$D,qPL_Fact!$C:$C,$B20,qPL_Fact!$A:$A,DATE(2025,10,1))+SUMIFS(qPL_Fact!$D:$D,qPL_Fact!$C:$C,$B20,qPL_Fact!$A:$A,DATE(2025,11,1))+SUMIFS(qPL_Fact!$D:$D,qPL_Fact!$C:$C,$B20,qPL_Fact!$A:$A,DATE(2025,12,1))</f>
        <v/>
      </c>
      <c r="J20" s="38">
        <f>SUMIFS(qPL_Fact!$D:$D,qPL_Fact!$C:$C,$B20,qPL_Fact!$A:$A,DATE(2024,8,1))+SUMIFS(qPL_Fact!$D:$D,qPL_Fact!$C:$C,$B20,qPL_Fact!$A:$A,DATE(2024,9,1))+SUMIFS(qPL_Fact!$D:$D,qPL_Fact!$C:$C,$B20,qPL_Fact!$A:$A,DATE(2024,10,1))+SUMIFS(qPL_Fact!$D:$D,qPL_Fact!$C:$C,$B20,qPL_Fact!$A:$A,DATE(2024,11,1))+SUMIFS(qPL_Fact!$D:$D,qPL_Fact!$C:$C,$B20,qPL_Fact!$A:$A,DATE(2024,12,1))+SUMIFS(qPL_Fact!$D:$D,qPL_Fact!$C:$C,$B20,qPL_Fact!$A:$A,DATE(2025,1,1))+SUMIFS(qPL_Fact!$D:$D,qPL_Fact!$C:$C,$B20,qPL_Fact!$A:$A,DATE(2025,2,1))+SUMIFS(qPL_Fact!$D:$D,qPL_Fact!$C:$C,$B20,qPL_Fact!$A:$A,DATE(2025,3,1))+SUMIFS(qPL_Fact!$D:$D,qPL_Fact!$C:$C,$B20,qPL_Fact!$A:$A,DATE(2025,4,1))+SUMIFS(qPL_Fact!$D:$D,qPL_Fact!$C:$C,$B20,qPL_Fact!$A:$A,DATE(2025,5,1))+SUMIFS(qPL_Fact!$D:$D,qPL_Fact!$C:$C,$B20,qPL_Fact!$A:$A,DATE(2025,6,1))+SUMIFS(qPL_Fact!$D:$D,qPL_Fact!$C:$C,$B20,qPL_Fact!$A:$A,DATE(2025,7,1))</f>
        <v/>
      </c>
      <c r="K20" s="38">
        <f>I20-J20</f>
        <v/>
      </c>
    </row>
    <row r="21">
      <c r="A21" s="23" t="n"/>
      <c r="B21" s="10" t="inlineStr">
        <is>
          <t>Deposit Forfeit</t>
        </is>
      </c>
      <c r="C21" s="37">
        <f>SUMIFS(qPL_Fact!$D:$D,qPL_Fact!$C:$C,$B21,qPL_Fact!$A:$A,DATE(2025,12,1))</f>
        <v/>
      </c>
      <c r="D21" s="37">
        <f>SUMIFS(qPL_Fact!$D:$D,qPL_Fact!$C:$C,$B21,qPL_Fact!$A:$A,DATE(2025,11,1))</f>
        <v/>
      </c>
      <c r="E21" s="37">
        <f>C21-D21</f>
        <v/>
      </c>
      <c r="F21" s="37">
        <f>SUMIFS(qPL_Fact!$D:$D,qPL_Fact!$C:$C,$B21,qPL_Fact!$A:$A,DATE(2025,10,1))+SUMIFS(qPL_Fact!$D:$D,qPL_Fact!$C:$C,$B21,qPL_Fact!$A:$A,DATE(2025,11,1))+SUMIFS(qPL_Fact!$D:$D,qPL_Fact!$C:$C,$B21,qPL_Fact!$A:$A,DATE(2025,12,1))</f>
        <v/>
      </c>
      <c r="G21" s="37">
        <f>SUMIFS(qPL_Fact!$D:$D,qPL_Fact!$C:$C,$B21,qPL_Fact!$A:$A,DATE(2025,7,1))+SUMIFS(qPL_Fact!$D:$D,qPL_Fact!$C:$C,$B21,qPL_Fact!$A:$A,DATE(2025,8,1))+SUMIFS(qPL_Fact!$D:$D,qPL_Fact!$C:$C,$B21,qPL_Fact!$A:$A,DATE(2025,9,1))</f>
        <v/>
      </c>
      <c r="H21" s="37">
        <f>F21-G21</f>
        <v/>
      </c>
      <c r="I21" s="37">
        <f>SUMIFS(qPL_Fact!$D:$D,qPL_Fact!$C:$C,$B21,qPL_Fact!$A:$A,DATE(2025,1,1))+SUMIFS(qPL_Fact!$D:$D,qPL_Fact!$C:$C,$B21,qPL_Fact!$A:$A,DATE(2025,2,1))+SUMIFS(qPL_Fact!$D:$D,qPL_Fact!$C:$C,$B21,qPL_Fact!$A:$A,DATE(2025,3,1))+SUMIFS(qPL_Fact!$D:$D,qPL_Fact!$C:$C,$B21,qPL_Fact!$A:$A,DATE(2025,4,1))+SUMIFS(qPL_Fact!$D:$D,qPL_Fact!$C:$C,$B21,qPL_Fact!$A:$A,DATE(2025,5,1))+SUMIFS(qPL_Fact!$D:$D,qPL_Fact!$C:$C,$B21,qPL_Fact!$A:$A,DATE(2025,6,1))+SUMIFS(qPL_Fact!$D:$D,qPL_Fact!$C:$C,$B21,qPL_Fact!$A:$A,DATE(2025,7,1))+SUMIFS(qPL_Fact!$D:$D,qPL_Fact!$C:$C,$B21,qPL_Fact!$A:$A,DATE(2025,8,1))+SUMIFS(qPL_Fact!$D:$D,qPL_Fact!$C:$C,$B21,qPL_Fact!$A:$A,DATE(2025,9,1))+SUMIFS(qPL_Fact!$D:$D,qPL_Fact!$C:$C,$B21,qPL_Fact!$A:$A,DATE(2025,10,1))+SUMIFS(qPL_Fact!$D:$D,qPL_Fact!$C:$C,$B21,qPL_Fact!$A:$A,DATE(2025,11,1))+SUMIFS(qPL_Fact!$D:$D,qPL_Fact!$C:$C,$B21,qPL_Fact!$A:$A,DATE(2025,12,1))</f>
        <v/>
      </c>
      <c r="J21" s="37">
        <f>SUMIFS(qPL_Fact!$D:$D,qPL_Fact!$C:$C,$B21,qPL_Fact!$A:$A,DATE(2024,8,1))+SUMIFS(qPL_Fact!$D:$D,qPL_Fact!$C:$C,$B21,qPL_Fact!$A:$A,DATE(2024,9,1))+SUMIFS(qPL_Fact!$D:$D,qPL_Fact!$C:$C,$B21,qPL_Fact!$A:$A,DATE(2024,10,1))+SUMIFS(qPL_Fact!$D:$D,qPL_Fact!$C:$C,$B21,qPL_Fact!$A:$A,DATE(2024,11,1))+SUMIFS(qPL_Fact!$D:$D,qPL_Fact!$C:$C,$B21,qPL_Fact!$A:$A,DATE(2024,12,1))+SUMIFS(qPL_Fact!$D:$D,qPL_Fact!$C:$C,$B21,qPL_Fact!$A:$A,DATE(2025,1,1))+SUMIFS(qPL_Fact!$D:$D,qPL_Fact!$C:$C,$B21,qPL_Fact!$A:$A,DATE(2025,2,1))+SUMIFS(qPL_Fact!$D:$D,qPL_Fact!$C:$C,$B21,qPL_Fact!$A:$A,DATE(2025,3,1))+SUMIFS(qPL_Fact!$D:$D,qPL_Fact!$C:$C,$B21,qPL_Fact!$A:$A,DATE(2025,4,1))+SUMIFS(qPL_Fact!$D:$D,qPL_Fact!$C:$C,$B21,qPL_Fact!$A:$A,DATE(2025,5,1))+SUMIFS(qPL_Fact!$D:$D,qPL_Fact!$C:$C,$B21,qPL_Fact!$A:$A,DATE(2025,6,1))+SUMIFS(qPL_Fact!$D:$D,qPL_Fact!$C:$C,$B21,qPL_Fact!$A:$A,DATE(2025,7,1))</f>
        <v/>
      </c>
      <c r="K21" s="37">
        <f>I21-J21</f>
        <v/>
      </c>
    </row>
    <row r="22">
      <c r="A22" s="11" t="inlineStr">
        <is>
          <t>4410</t>
        </is>
      </c>
      <c r="B22" s="12" t="inlineStr">
        <is>
          <t>NSF Fees</t>
        </is>
      </c>
      <c r="C22" s="38">
        <f>SUMIFS(qPL_Fact!$D:$D,qPL_Fact!$C:$C,$B22,qPL_Fact!$A:$A,DATE(2025,12,1))</f>
        <v/>
      </c>
      <c r="D22" s="38">
        <f>SUMIFS(qPL_Fact!$D:$D,qPL_Fact!$C:$C,$B22,qPL_Fact!$A:$A,DATE(2025,11,1))</f>
        <v/>
      </c>
      <c r="E22" s="38">
        <f>C22-D22</f>
        <v/>
      </c>
      <c r="F22" s="38">
        <f>SUMIFS(qPL_Fact!$D:$D,qPL_Fact!$C:$C,$B22,qPL_Fact!$A:$A,DATE(2025,10,1))+SUMIFS(qPL_Fact!$D:$D,qPL_Fact!$C:$C,$B22,qPL_Fact!$A:$A,DATE(2025,11,1))+SUMIFS(qPL_Fact!$D:$D,qPL_Fact!$C:$C,$B22,qPL_Fact!$A:$A,DATE(2025,12,1))</f>
        <v/>
      </c>
      <c r="G22" s="38">
        <f>SUMIFS(qPL_Fact!$D:$D,qPL_Fact!$C:$C,$B22,qPL_Fact!$A:$A,DATE(2025,7,1))+SUMIFS(qPL_Fact!$D:$D,qPL_Fact!$C:$C,$B22,qPL_Fact!$A:$A,DATE(2025,8,1))+SUMIFS(qPL_Fact!$D:$D,qPL_Fact!$C:$C,$B22,qPL_Fact!$A:$A,DATE(2025,9,1))</f>
        <v/>
      </c>
      <c r="H22" s="38">
        <f>F22-G22</f>
        <v/>
      </c>
      <c r="I22" s="38">
        <f>SUMIFS(qPL_Fact!$D:$D,qPL_Fact!$C:$C,$B22,qPL_Fact!$A:$A,DATE(2025,1,1))+SUMIFS(qPL_Fact!$D:$D,qPL_Fact!$C:$C,$B22,qPL_Fact!$A:$A,DATE(2025,2,1))+SUMIFS(qPL_Fact!$D:$D,qPL_Fact!$C:$C,$B22,qPL_Fact!$A:$A,DATE(2025,3,1))+SUMIFS(qPL_Fact!$D:$D,qPL_Fact!$C:$C,$B22,qPL_Fact!$A:$A,DATE(2025,4,1))+SUMIFS(qPL_Fact!$D:$D,qPL_Fact!$C:$C,$B22,qPL_Fact!$A:$A,DATE(2025,5,1))+SUMIFS(qPL_Fact!$D:$D,qPL_Fact!$C:$C,$B22,qPL_Fact!$A:$A,DATE(2025,6,1))+SUMIFS(qPL_Fact!$D:$D,qPL_Fact!$C:$C,$B22,qPL_Fact!$A:$A,DATE(2025,7,1))+SUMIFS(qPL_Fact!$D:$D,qPL_Fact!$C:$C,$B22,qPL_Fact!$A:$A,DATE(2025,8,1))+SUMIFS(qPL_Fact!$D:$D,qPL_Fact!$C:$C,$B22,qPL_Fact!$A:$A,DATE(2025,9,1))+SUMIFS(qPL_Fact!$D:$D,qPL_Fact!$C:$C,$B22,qPL_Fact!$A:$A,DATE(2025,10,1))+SUMIFS(qPL_Fact!$D:$D,qPL_Fact!$C:$C,$B22,qPL_Fact!$A:$A,DATE(2025,11,1))+SUMIFS(qPL_Fact!$D:$D,qPL_Fact!$C:$C,$B22,qPL_Fact!$A:$A,DATE(2025,12,1))</f>
        <v/>
      </c>
      <c r="J22" s="38">
        <f>SUMIFS(qPL_Fact!$D:$D,qPL_Fact!$C:$C,$B22,qPL_Fact!$A:$A,DATE(2024,8,1))+SUMIFS(qPL_Fact!$D:$D,qPL_Fact!$C:$C,$B22,qPL_Fact!$A:$A,DATE(2024,9,1))+SUMIFS(qPL_Fact!$D:$D,qPL_Fact!$C:$C,$B22,qPL_Fact!$A:$A,DATE(2024,10,1))+SUMIFS(qPL_Fact!$D:$D,qPL_Fact!$C:$C,$B22,qPL_Fact!$A:$A,DATE(2024,11,1))+SUMIFS(qPL_Fact!$D:$D,qPL_Fact!$C:$C,$B22,qPL_Fact!$A:$A,DATE(2024,12,1))+SUMIFS(qPL_Fact!$D:$D,qPL_Fact!$C:$C,$B22,qPL_Fact!$A:$A,DATE(2025,1,1))+SUMIFS(qPL_Fact!$D:$D,qPL_Fact!$C:$C,$B22,qPL_Fact!$A:$A,DATE(2025,2,1))+SUMIFS(qPL_Fact!$D:$D,qPL_Fact!$C:$C,$B22,qPL_Fact!$A:$A,DATE(2025,3,1))+SUMIFS(qPL_Fact!$D:$D,qPL_Fact!$C:$C,$B22,qPL_Fact!$A:$A,DATE(2025,4,1))+SUMIFS(qPL_Fact!$D:$D,qPL_Fact!$C:$C,$B22,qPL_Fact!$A:$A,DATE(2025,5,1))+SUMIFS(qPL_Fact!$D:$D,qPL_Fact!$C:$C,$B22,qPL_Fact!$A:$A,DATE(2025,6,1))+SUMIFS(qPL_Fact!$D:$D,qPL_Fact!$C:$C,$B22,qPL_Fact!$A:$A,DATE(2025,7,1))</f>
        <v/>
      </c>
      <c r="K22" s="38">
        <f>I22-J22</f>
        <v/>
      </c>
    </row>
    <row r="23">
      <c r="A23" s="39" t="n"/>
      <c r="B23" s="40" t="inlineStr">
        <is>
          <t>Total Other Income</t>
        </is>
      </c>
      <c r="C23" s="41">
        <f>SUMIFS(qPL_Fact!$D:$D,qPL_Fact!$C:$C,$B23,qPL_Fact!$A:$A,DATE(2025,12,1))</f>
        <v/>
      </c>
      <c r="D23" s="41">
        <f>SUMIFS(qPL_Fact!$D:$D,qPL_Fact!$C:$C,$B23,qPL_Fact!$A:$A,DATE(2025,11,1))</f>
        <v/>
      </c>
      <c r="E23" s="41">
        <f>C23-D23</f>
        <v/>
      </c>
      <c r="F23" s="41">
        <f>SUMIFS(qPL_Fact!$D:$D,qPL_Fact!$C:$C,$B23,qPL_Fact!$A:$A,DATE(2025,10,1))+SUMIFS(qPL_Fact!$D:$D,qPL_Fact!$C:$C,$B23,qPL_Fact!$A:$A,DATE(2025,11,1))+SUMIFS(qPL_Fact!$D:$D,qPL_Fact!$C:$C,$B23,qPL_Fact!$A:$A,DATE(2025,12,1))</f>
        <v/>
      </c>
      <c r="G23" s="41">
        <f>SUMIFS(qPL_Fact!$D:$D,qPL_Fact!$C:$C,$B23,qPL_Fact!$A:$A,DATE(2025,7,1))+SUMIFS(qPL_Fact!$D:$D,qPL_Fact!$C:$C,$B23,qPL_Fact!$A:$A,DATE(2025,8,1))+SUMIFS(qPL_Fact!$D:$D,qPL_Fact!$C:$C,$B23,qPL_Fact!$A:$A,DATE(2025,9,1))</f>
        <v/>
      </c>
      <c r="H23" s="41">
        <f>F23-G23</f>
        <v/>
      </c>
      <c r="I23" s="41">
        <f>SUMIFS(qPL_Fact!$D:$D,qPL_Fact!$C:$C,$B23,qPL_Fact!$A:$A,DATE(2025,1,1))+SUMIFS(qPL_Fact!$D:$D,qPL_Fact!$C:$C,$B23,qPL_Fact!$A:$A,DATE(2025,2,1))+SUMIFS(qPL_Fact!$D:$D,qPL_Fact!$C:$C,$B23,qPL_Fact!$A:$A,DATE(2025,3,1))+SUMIFS(qPL_Fact!$D:$D,qPL_Fact!$C:$C,$B23,qPL_Fact!$A:$A,DATE(2025,4,1))+SUMIFS(qPL_Fact!$D:$D,qPL_Fact!$C:$C,$B23,qPL_Fact!$A:$A,DATE(2025,5,1))+SUMIFS(qPL_Fact!$D:$D,qPL_Fact!$C:$C,$B23,qPL_Fact!$A:$A,DATE(2025,6,1))+SUMIFS(qPL_Fact!$D:$D,qPL_Fact!$C:$C,$B23,qPL_Fact!$A:$A,DATE(2025,7,1))+SUMIFS(qPL_Fact!$D:$D,qPL_Fact!$C:$C,$B23,qPL_Fact!$A:$A,DATE(2025,8,1))+SUMIFS(qPL_Fact!$D:$D,qPL_Fact!$C:$C,$B23,qPL_Fact!$A:$A,DATE(2025,9,1))+SUMIFS(qPL_Fact!$D:$D,qPL_Fact!$C:$C,$B23,qPL_Fact!$A:$A,DATE(2025,10,1))+SUMIFS(qPL_Fact!$D:$D,qPL_Fact!$C:$C,$B23,qPL_Fact!$A:$A,DATE(2025,11,1))+SUMIFS(qPL_Fact!$D:$D,qPL_Fact!$C:$C,$B23,qPL_Fact!$A:$A,DATE(2025,12,1))</f>
        <v/>
      </c>
      <c r="J23" s="41">
        <f>SUMIFS(qPL_Fact!$D:$D,qPL_Fact!$C:$C,$B23,qPL_Fact!$A:$A,DATE(2024,8,1))+SUMIFS(qPL_Fact!$D:$D,qPL_Fact!$C:$C,$B23,qPL_Fact!$A:$A,DATE(2024,9,1))+SUMIFS(qPL_Fact!$D:$D,qPL_Fact!$C:$C,$B23,qPL_Fact!$A:$A,DATE(2024,10,1))+SUMIFS(qPL_Fact!$D:$D,qPL_Fact!$C:$C,$B23,qPL_Fact!$A:$A,DATE(2024,11,1))+SUMIFS(qPL_Fact!$D:$D,qPL_Fact!$C:$C,$B23,qPL_Fact!$A:$A,DATE(2024,12,1))+SUMIFS(qPL_Fact!$D:$D,qPL_Fact!$C:$C,$B23,qPL_Fact!$A:$A,DATE(2025,1,1))+SUMIFS(qPL_Fact!$D:$D,qPL_Fact!$C:$C,$B23,qPL_Fact!$A:$A,DATE(2025,2,1))+SUMIFS(qPL_Fact!$D:$D,qPL_Fact!$C:$C,$B23,qPL_Fact!$A:$A,DATE(2025,3,1))+SUMIFS(qPL_Fact!$D:$D,qPL_Fact!$C:$C,$B23,qPL_Fact!$A:$A,DATE(2025,4,1))+SUMIFS(qPL_Fact!$D:$D,qPL_Fact!$C:$C,$B23,qPL_Fact!$A:$A,DATE(2025,5,1))+SUMIFS(qPL_Fact!$D:$D,qPL_Fact!$C:$C,$B23,qPL_Fact!$A:$A,DATE(2025,6,1))+SUMIFS(qPL_Fact!$D:$D,qPL_Fact!$C:$C,$B23,qPL_Fact!$A:$A,DATE(2025,7,1))</f>
        <v/>
      </c>
      <c r="K23" s="41">
        <f>I23-J23</f>
        <v/>
      </c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</row>
    <row r="25">
      <c r="A25" s="39" t="n"/>
      <c r="B25" s="40" t="inlineStr">
        <is>
          <t>EFFECTIVE GROSS INCOME (EGI)</t>
        </is>
      </c>
      <c r="C25" s="41">
        <f>SUMIFS(qPL_Fact!$D:$D,qPL_Fact!$C:$C,$B25,qPL_Fact!$A:$A,DATE(2025,12,1))</f>
        <v/>
      </c>
      <c r="D25" s="41">
        <f>SUMIFS(qPL_Fact!$D:$D,qPL_Fact!$C:$C,$B25,qPL_Fact!$A:$A,DATE(2025,11,1))</f>
        <v/>
      </c>
      <c r="E25" s="41">
        <f>C25-D25</f>
        <v/>
      </c>
      <c r="F25" s="41">
        <f>SUMIFS(qPL_Fact!$D:$D,qPL_Fact!$C:$C,$B25,qPL_Fact!$A:$A,DATE(2025,10,1))+SUMIFS(qPL_Fact!$D:$D,qPL_Fact!$C:$C,$B25,qPL_Fact!$A:$A,DATE(2025,11,1))+SUMIFS(qPL_Fact!$D:$D,qPL_Fact!$C:$C,$B25,qPL_Fact!$A:$A,DATE(2025,12,1))</f>
        <v/>
      </c>
      <c r="G25" s="41">
        <f>SUMIFS(qPL_Fact!$D:$D,qPL_Fact!$C:$C,$B25,qPL_Fact!$A:$A,DATE(2025,7,1))+SUMIFS(qPL_Fact!$D:$D,qPL_Fact!$C:$C,$B25,qPL_Fact!$A:$A,DATE(2025,8,1))+SUMIFS(qPL_Fact!$D:$D,qPL_Fact!$C:$C,$B25,qPL_Fact!$A:$A,DATE(2025,9,1))</f>
        <v/>
      </c>
      <c r="H25" s="41">
        <f>F25-G25</f>
        <v/>
      </c>
      <c r="I25" s="41">
        <f>SUMIFS(qPL_Fact!$D:$D,qPL_Fact!$C:$C,$B25,qPL_Fact!$A:$A,DATE(2025,1,1))+SUMIFS(qPL_Fact!$D:$D,qPL_Fact!$C:$C,$B25,qPL_Fact!$A:$A,DATE(2025,2,1))+SUMIFS(qPL_Fact!$D:$D,qPL_Fact!$C:$C,$B25,qPL_Fact!$A:$A,DATE(2025,3,1))+SUMIFS(qPL_Fact!$D:$D,qPL_Fact!$C:$C,$B25,qPL_Fact!$A:$A,DATE(2025,4,1))+SUMIFS(qPL_Fact!$D:$D,qPL_Fact!$C:$C,$B25,qPL_Fact!$A:$A,DATE(2025,5,1))+SUMIFS(qPL_Fact!$D:$D,qPL_Fact!$C:$C,$B25,qPL_Fact!$A:$A,DATE(2025,6,1))+SUMIFS(qPL_Fact!$D:$D,qPL_Fact!$C:$C,$B25,qPL_Fact!$A:$A,DATE(2025,7,1))+SUMIFS(qPL_Fact!$D:$D,qPL_Fact!$C:$C,$B25,qPL_Fact!$A:$A,DATE(2025,8,1))+SUMIFS(qPL_Fact!$D:$D,qPL_Fact!$C:$C,$B25,qPL_Fact!$A:$A,DATE(2025,9,1))+SUMIFS(qPL_Fact!$D:$D,qPL_Fact!$C:$C,$B25,qPL_Fact!$A:$A,DATE(2025,10,1))+SUMIFS(qPL_Fact!$D:$D,qPL_Fact!$C:$C,$B25,qPL_Fact!$A:$A,DATE(2025,11,1))+SUMIFS(qPL_Fact!$D:$D,qPL_Fact!$C:$C,$B25,qPL_Fact!$A:$A,DATE(2025,12,1))</f>
        <v/>
      </c>
      <c r="J25" s="41">
        <f>SUMIFS(qPL_Fact!$D:$D,qPL_Fact!$C:$C,$B25,qPL_Fact!$A:$A,DATE(2024,8,1))+SUMIFS(qPL_Fact!$D:$D,qPL_Fact!$C:$C,$B25,qPL_Fact!$A:$A,DATE(2024,9,1))+SUMIFS(qPL_Fact!$D:$D,qPL_Fact!$C:$C,$B25,qPL_Fact!$A:$A,DATE(2024,10,1))+SUMIFS(qPL_Fact!$D:$D,qPL_Fact!$C:$C,$B25,qPL_Fact!$A:$A,DATE(2024,11,1))+SUMIFS(qPL_Fact!$D:$D,qPL_Fact!$C:$C,$B25,qPL_Fact!$A:$A,DATE(2024,12,1))+SUMIFS(qPL_Fact!$D:$D,qPL_Fact!$C:$C,$B25,qPL_Fact!$A:$A,DATE(2025,1,1))+SUMIFS(qPL_Fact!$D:$D,qPL_Fact!$C:$C,$B25,qPL_Fact!$A:$A,DATE(2025,2,1))+SUMIFS(qPL_Fact!$D:$D,qPL_Fact!$C:$C,$B25,qPL_Fact!$A:$A,DATE(2025,3,1))+SUMIFS(qPL_Fact!$D:$D,qPL_Fact!$C:$C,$B25,qPL_Fact!$A:$A,DATE(2025,4,1))+SUMIFS(qPL_Fact!$D:$D,qPL_Fact!$C:$C,$B25,qPL_Fact!$A:$A,DATE(2025,5,1))+SUMIFS(qPL_Fact!$D:$D,qPL_Fact!$C:$C,$B25,qPL_Fact!$A:$A,DATE(2025,6,1))+SUMIFS(qPL_Fact!$D:$D,qPL_Fact!$C:$C,$B25,qPL_Fact!$A:$A,DATE(2025,7,1))</f>
        <v/>
      </c>
      <c r="K25" s="41">
        <f>I25-J25</f>
        <v/>
      </c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  <row r="27" ht="20" customHeight="1">
      <c r="A27" s="6" t="n"/>
      <c r="B27" s="6" t="inlineStr">
        <is>
          <t>OPERATING EXPENSES</t>
        </is>
      </c>
      <c r="C27" s="36">
        <f>SUMIFS(qPL_Fact!$D:$D,qPL_Fact!$C:$C,$B27,qPL_Fact!$A:$A,DATE(2025,12,1))</f>
        <v/>
      </c>
      <c r="D27" s="36">
        <f>SUMIFS(qPL_Fact!$D:$D,qPL_Fact!$C:$C,$B27,qPL_Fact!$A:$A,DATE(2025,11,1))</f>
        <v/>
      </c>
      <c r="E27" s="36">
        <f>C27-D27</f>
        <v/>
      </c>
      <c r="F27" s="36">
        <f>SUMIFS(qPL_Fact!$D:$D,qPL_Fact!$C:$C,$B27,qPL_Fact!$A:$A,DATE(2025,10,1))+SUMIFS(qPL_Fact!$D:$D,qPL_Fact!$C:$C,$B27,qPL_Fact!$A:$A,DATE(2025,11,1))+SUMIFS(qPL_Fact!$D:$D,qPL_Fact!$C:$C,$B27,qPL_Fact!$A:$A,DATE(2025,12,1))</f>
        <v/>
      </c>
      <c r="G27" s="36">
        <f>SUMIFS(qPL_Fact!$D:$D,qPL_Fact!$C:$C,$B27,qPL_Fact!$A:$A,DATE(2025,7,1))+SUMIFS(qPL_Fact!$D:$D,qPL_Fact!$C:$C,$B27,qPL_Fact!$A:$A,DATE(2025,8,1))+SUMIFS(qPL_Fact!$D:$D,qPL_Fact!$C:$C,$B27,qPL_Fact!$A:$A,DATE(2025,9,1))</f>
        <v/>
      </c>
      <c r="H27" s="36">
        <f>F27-G27</f>
        <v/>
      </c>
      <c r="I27" s="36">
        <f>SUMIFS(qPL_Fact!$D:$D,qPL_Fact!$C:$C,$B27,qPL_Fact!$A:$A,DATE(2025,1,1))+SUMIFS(qPL_Fact!$D:$D,qPL_Fact!$C:$C,$B27,qPL_Fact!$A:$A,DATE(2025,2,1))+SUMIFS(qPL_Fact!$D:$D,qPL_Fact!$C:$C,$B27,qPL_Fact!$A:$A,DATE(2025,3,1))+SUMIFS(qPL_Fact!$D:$D,qPL_Fact!$C:$C,$B27,qPL_Fact!$A:$A,DATE(2025,4,1))+SUMIFS(qPL_Fact!$D:$D,qPL_Fact!$C:$C,$B27,qPL_Fact!$A:$A,DATE(2025,5,1))+SUMIFS(qPL_Fact!$D:$D,qPL_Fact!$C:$C,$B27,qPL_Fact!$A:$A,DATE(2025,6,1))+SUMIFS(qPL_Fact!$D:$D,qPL_Fact!$C:$C,$B27,qPL_Fact!$A:$A,DATE(2025,7,1))+SUMIFS(qPL_Fact!$D:$D,qPL_Fact!$C:$C,$B27,qPL_Fact!$A:$A,DATE(2025,8,1))+SUMIFS(qPL_Fact!$D:$D,qPL_Fact!$C:$C,$B27,qPL_Fact!$A:$A,DATE(2025,9,1))+SUMIFS(qPL_Fact!$D:$D,qPL_Fact!$C:$C,$B27,qPL_Fact!$A:$A,DATE(2025,10,1))+SUMIFS(qPL_Fact!$D:$D,qPL_Fact!$C:$C,$B27,qPL_Fact!$A:$A,DATE(2025,11,1))+SUMIFS(qPL_Fact!$D:$D,qPL_Fact!$C:$C,$B27,qPL_Fact!$A:$A,DATE(2025,12,1))</f>
        <v/>
      </c>
      <c r="J27" s="36">
        <f>SUMIFS(qPL_Fact!$D:$D,qPL_Fact!$C:$C,$B27,qPL_Fact!$A:$A,DATE(2024,8,1))+SUMIFS(qPL_Fact!$D:$D,qPL_Fact!$C:$C,$B27,qPL_Fact!$A:$A,DATE(2024,9,1))+SUMIFS(qPL_Fact!$D:$D,qPL_Fact!$C:$C,$B27,qPL_Fact!$A:$A,DATE(2024,10,1))+SUMIFS(qPL_Fact!$D:$D,qPL_Fact!$C:$C,$B27,qPL_Fact!$A:$A,DATE(2024,11,1))+SUMIFS(qPL_Fact!$D:$D,qPL_Fact!$C:$C,$B27,qPL_Fact!$A:$A,DATE(2024,12,1))+SUMIFS(qPL_Fact!$D:$D,qPL_Fact!$C:$C,$B27,qPL_Fact!$A:$A,DATE(2025,1,1))+SUMIFS(qPL_Fact!$D:$D,qPL_Fact!$C:$C,$B27,qPL_Fact!$A:$A,DATE(2025,2,1))+SUMIFS(qPL_Fact!$D:$D,qPL_Fact!$C:$C,$B27,qPL_Fact!$A:$A,DATE(2025,3,1))+SUMIFS(qPL_Fact!$D:$D,qPL_Fact!$C:$C,$B27,qPL_Fact!$A:$A,DATE(2025,4,1))+SUMIFS(qPL_Fact!$D:$D,qPL_Fact!$C:$C,$B27,qPL_Fact!$A:$A,DATE(2025,5,1))+SUMIFS(qPL_Fact!$D:$D,qPL_Fact!$C:$C,$B27,qPL_Fact!$A:$A,DATE(2025,6,1))+SUMIFS(qPL_Fact!$D:$D,qPL_Fact!$C:$C,$B27,qPL_Fact!$A:$A,DATE(2025,7,1))</f>
        <v/>
      </c>
      <c r="K27" s="36">
        <f>I27-J27</f>
        <v/>
      </c>
    </row>
    <row r="28">
      <c r="A28" s="11" t="inlineStr">
        <is>
          <t>6161</t>
        </is>
      </c>
      <c r="B28" s="12" t="inlineStr">
        <is>
          <t>Real Estate Taxes</t>
        </is>
      </c>
      <c r="C28" s="38">
        <f>SUMIFS(qPL_Fact!$D:$D,qPL_Fact!$C:$C,$B28,qPL_Fact!$A:$A,DATE(2025,12,1))</f>
        <v/>
      </c>
      <c r="D28" s="38">
        <f>SUMIFS(qPL_Fact!$D:$D,qPL_Fact!$C:$C,$B28,qPL_Fact!$A:$A,DATE(2025,11,1))</f>
        <v/>
      </c>
      <c r="E28" s="38">
        <f>C28-D28</f>
        <v/>
      </c>
      <c r="F28" s="38">
        <f>SUMIFS(qPL_Fact!$D:$D,qPL_Fact!$C:$C,$B28,qPL_Fact!$A:$A,DATE(2025,10,1))+SUMIFS(qPL_Fact!$D:$D,qPL_Fact!$C:$C,$B28,qPL_Fact!$A:$A,DATE(2025,11,1))+SUMIFS(qPL_Fact!$D:$D,qPL_Fact!$C:$C,$B28,qPL_Fact!$A:$A,DATE(2025,12,1))</f>
        <v/>
      </c>
      <c r="G28" s="38">
        <f>SUMIFS(qPL_Fact!$D:$D,qPL_Fact!$C:$C,$B28,qPL_Fact!$A:$A,DATE(2025,7,1))+SUMIFS(qPL_Fact!$D:$D,qPL_Fact!$C:$C,$B28,qPL_Fact!$A:$A,DATE(2025,8,1))+SUMIFS(qPL_Fact!$D:$D,qPL_Fact!$C:$C,$B28,qPL_Fact!$A:$A,DATE(2025,9,1))</f>
        <v/>
      </c>
      <c r="H28" s="38">
        <f>F28-G28</f>
        <v/>
      </c>
      <c r="I28" s="38">
        <f>SUMIFS(qPL_Fact!$D:$D,qPL_Fact!$C:$C,$B28,qPL_Fact!$A:$A,DATE(2025,1,1))+SUMIFS(qPL_Fact!$D:$D,qPL_Fact!$C:$C,$B28,qPL_Fact!$A:$A,DATE(2025,2,1))+SUMIFS(qPL_Fact!$D:$D,qPL_Fact!$C:$C,$B28,qPL_Fact!$A:$A,DATE(2025,3,1))+SUMIFS(qPL_Fact!$D:$D,qPL_Fact!$C:$C,$B28,qPL_Fact!$A:$A,DATE(2025,4,1))+SUMIFS(qPL_Fact!$D:$D,qPL_Fact!$C:$C,$B28,qPL_Fact!$A:$A,DATE(2025,5,1))+SUMIFS(qPL_Fact!$D:$D,qPL_Fact!$C:$C,$B28,qPL_Fact!$A:$A,DATE(2025,6,1))+SUMIFS(qPL_Fact!$D:$D,qPL_Fact!$C:$C,$B28,qPL_Fact!$A:$A,DATE(2025,7,1))+SUMIFS(qPL_Fact!$D:$D,qPL_Fact!$C:$C,$B28,qPL_Fact!$A:$A,DATE(2025,8,1))+SUMIFS(qPL_Fact!$D:$D,qPL_Fact!$C:$C,$B28,qPL_Fact!$A:$A,DATE(2025,9,1))+SUMIFS(qPL_Fact!$D:$D,qPL_Fact!$C:$C,$B28,qPL_Fact!$A:$A,DATE(2025,10,1))+SUMIFS(qPL_Fact!$D:$D,qPL_Fact!$C:$C,$B28,qPL_Fact!$A:$A,DATE(2025,11,1))+SUMIFS(qPL_Fact!$D:$D,qPL_Fact!$C:$C,$B28,qPL_Fact!$A:$A,DATE(2025,12,1))</f>
        <v/>
      </c>
      <c r="J28" s="38">
        <f>SUMIFS(qPL_Fact!$D:$D,qPL_Fact!$C:$C,$B28,qPL_Fact!$A:$A,DATE(2024,8,1))+SUMIFS(qPL_Fact!$D:$D,qPL_Fact!$C:$C,$B28,qPL_Fact!$A:$A,DATE(2024,9,1))+SUMIFS(qPL_Fact!$D:$D,qPL_Fact!$C:$C,$B28,qPL_Fact!$A:$A,DATE(2024,10,1))+SUMIFS(qPL_Fact!$D:$D,qPL_Fact!$C:$C,$B28,qPL_Fact!$A:$A,DATE(2024,11,1))+SUMIFS(qPL_Fact!$D:$D,qPL_Fact!$C:$C,$B28,qPL_Fact!$A:$A,DATE(2024,12,1))+SUMIFS(qPL_Fact!$D:$D,qPL_Fact!$C:$C,$B28,qPL_Fact!$A:$A,DATE(2025,1,1))+SUMIFS(qPL_Fact!$D:$D,qPL_Fact!$C:$C,$B28,qPL_Fact!$A:$A,DATE(2025,2,1))+SUMIFS(qPL_Fact!$D:$D,qPL_Fact!$C:$C,$B28,qPL_Fact!$A:$A,DATE(2025,3,1))+SUMIFS(qPL_Fact!$D:$D,qPL_Fact!$C:$C,$B28,qPL_Fact!$A:$A,DATE(2025,4,1))+SUMIFS(qPL_Fact!$D:$D,qPL_Fact!$C:$C,$B28,qPL_Fact!$A:$A,DATE(2025,5,1))+SUMIFS(qPL_Fact!$D:$D,qPL_Fact!$C:$C,$B28,qPL_Fact!$A:$A,DATE(2025,6,1))+SUMIFS(qPL_Fact!$D:$D,qPL_Fact!$C:$C,$B28,qPL_Fact!$A:$A,DATE(2025,7,1))</f>
        <v/>
      </c>
      <c r="K28" s="38">
        <f>I28-J28</f>
        <v/>
      </c>
    </row>
    <row r="29">
      <c r="A29" s="8" t="inlineStr">
        <is>
          <t>6091</t>
        </is>
      </c>
      <c r="B29" s="10" t="inlineStr">
        <is>
          <t>Property Insurance</t>
        </is>
      </c>
      <c r="C29" s="37">
        <f>SUMIFS(qPL_Fact!$D:$D,qPL_Fact!$C:$C,$B29,qPL_Fact!$A:$A,DATE(2025,12,1))</f>
        <v/>
      </c>
      <c r="D29" s="37">
        <f>SUMIFS(qPL_Fact!$D:$D,qPL_Fact!$C:$C,$B29,qPL_Fact!$A:$A,DATE(2025,11,1))</f>
        <v/>
      </c>
      <c r="E29" s="37">
        <f>C29-D29</f>
        <v/>
      </c>
      <c r="F29" s="37">
        <f>SUMIFS(qPL_Fact!$D:$D,qPL_Fact!$C:$C,$B29,qPL_Fact!$A:$A,DATE(2025,10,1))+SUMIFS(qPL_Fact!$D:$D,qPL_Fact!$C:$C,$B29,qPL_Fact!$A:$A,DATE(2025,11,1))+SUMIFS(qPL_Fact!$D:$D,qPL_Fact!$C:$C,$B29,qPL_Fact!$A:$A,DATE(2025,12,1))</f>
        <v/>
      </c>
      <c r="G29" s="37">
        <f>SUMIFS(qPL_Fact!$D:$D,qPL_Fact!$C:$C,$B29,qPL_Fact!$A:$A,DATE(2025,7,1))+SUMIFS(qPL_Fact!$D:$D,qPL_Fact!$C:$C,$B29,qPL_Fact!$A:$A,DATE(2025,8,1))+SUMIFS(qPL_Fact!$D:$D,qPL_Fact!$C:$C,$B29,qPL_Fact!$A:$A,DATE(2025,9,1))</f>
        <v/>
      </c>
      <c r="H29" s="37">
        <f>F29-G29</f>
        <v/>
      </c>
      <c r="I29" s="37">
        <f>SUMIFS(qPL_Fact!$D:$D,qPL_Fact!$C:$C,$B29,qPL_Fact!$A:$A,DATE(2025,1,1))+SUMIFS(qPL_Fact!$D:$D,qPL_Fact!$C:$C,$B29,qPL_Fact!$A:$A,DATE(2025,2,1))+SUMIFS(qPL_Fact!$D:$D,qPL_Fact!$C:$C,$B29,qPL_Fact!$A:$A,DATE(2025,3,1))+SUMIFS(qPL_Fact!$D:$D,qPL_Fact!$C:$C,$B29,qPL_Fact!$A:$A,DATE(2025,4,1))+SUMIFS(qPL_Fact!$D:$D,qPL_Fact!$C:$C,$B29,qPL_Fact!$A:$A,DATE(2025,5,1))+SUMIFS(qPL_Fact!$D:$D,qPL_Fact!$C:$C,$B29,qPL_Fact!$A:$A,DATE(2025,6,1))+SUMIFS(qPL_Fact!$D:$D,qPL_Fact!$C:$C,$B29,qPL_Fact!$A:$A,DATE(2025,7,1))+SUMIFS(qPL_Fact!$D:$D,qPL_Fact!$C:$C,$B29,qPL_Fact!$A:$A,DATE(2025,8,1))+SUMIFS(qPL_Fact!$D:$D,qPL_Fact!$C:$C,$B29,qPL_Fact!$A:$A,DATE(2025,9,1))+SUMIFS(qPL_Fact!$D:$D,qPL_Fact!$C:$C,$B29,qPL_Fact!$A:$A,DATE(2025,10,1))+SUMIFS(qPL_Fact!$D:$D,qPL_Fact!$C:$C,$B29,qPL_Fact!$A:$A,DATE(2025,11,1))+SUMIFS(qPL_Fact!$D:$D,qPL_Fact!$C:$C,$B29,qPL_Fact!$A:$A,DATE(2025,12,1))</f>
        <v/>
      </c>
      <c r="J29" s="37">
        <f>SUMIFS(qPL_Fact!$D:$D,qPL_Fact!$C:$C,$B29,qPL_Fact!$A:$A,DATE(2024,8,1))+SUMIFS(qPL_Fact!$D:$D,qPL_Fact!$C:$C,$B29,qPL_Fact!$A:$A,DATE(2024,9,1))+SUMIFS(qPL_Fact!$D:$D,qPL_Fact!$C:$C,$B29,qPL_Fact!$A:$A,DATE(2024,10,1))+SUMIFS(qPL_Fact!$D:$D,qPL_Fact!$C:$C,$B29,qPL_Fact!$A:$A,DATE(2024,11,1))+SUMIFS(qPL_Fact!$D:$D,qPL_Fact!$C:$C,$B29,qPL_Fact!$A:$A,DATE(2024,12,1))+SUMIFS(qPL_Fact!$D:$D,qPL_Fact!$C:$C,$B29,qPL_Fact!$A:$A,DATE(2025,1,1))+SUMIFS(qPL_Fact!$D:$D,qPL_Fact!$C:$C,$B29,qPL_Fact!$A:$A,DATE(2025,2,1))+SUMIFS(qPL_Fact!$D:$D,qPL_Fact!$C:$C,$B29,qPL_Fact!$A:$A,DATE(2025,3,1))+SUMIFS(qPL_Fact!$D:$D,qPL_Fact!$C:$C,$B29,qPL_Fact!$A:$A,DATE(2025,4,1))+SUMIFS(qPL_Fact!$D:$D,qPL_Fact!$C:$C,$B29,qPL_Fact!$A:$A,DATE(2025,5,1))+SUMIFS(qPL_Fact!$D:$D,qPL_Fact!$C:$C,$B29,qPL_Fact!$A:$A,DATE(2025,6,1))+SUMIFS(qPL_Fact!$D:$D,qPL_Fact!$C:$C,$B29,qPL_Fact!$A:$A,DATE(2025,7,1))</f>
        <v/>
      </c>
      <c r="K29" s="37">
        <f>I29-J29</f>
        <v/>
      </c>
    </row>
    <row r="30">
      <c r="A30" s="11" t="inlineStr">
        <is>
          <t>6002</t>
        </is>
      </c>
      <c r="B30" s="12" t="inlineStr">
        <is>
          <t>Payroll</t>
        </is>
      </c>
      <c r="C30" s="38">
        <f>SUMIFS(qPL_Fact!$D:$D,qPL_Fact!$C:$C,$B30,qPL_Fact!$A:$A,DATE(2025,12,1))</f>
        <v/>
      </c>
      <c r="D30" s="38">
        <f>SUMIFS(qPL_Fact!$D:$D,qPL_Fact!$C:$C,$B30,qPL_Fact!$A:$A,DATE(2025,11,1))</f>
        <v/>
      </c>
      <c r="E30" s="38">
        <f>C30-D30</f>
        <v/>
      </c>
      <c r="F30" s="38">
        <f>SUMIFS(qPL_Fact!$D:$D,qPL_Fact!$C:$C,$B30,qPL_Fact!$A:$A,DATE(2025,10,1))+SUMIFS(qPL_Fact!$D:$D,qPL_Fact!$C:$C,$B30,qPL_Fact!$A:$A,DATE(2025,11,1))+SUMIFS(qPL_Fact!$D:$D,qPL_Fact!$C:$C,$B30,qPL_Fact!$A:$A,DATE(2025,12,1))</f>
        <v/>
      </c>
      <c r="G30" s="38">
        <f>SUMIFS(qPL_Fact!$D:$D,qPL_Fact!$C:$C,$B30,qPL_Fact!$A:$A,DATE(2025,7,1))+SUMIFS(qPL_Fact!$D:$D,qPL_Fact!$C:$C,$B30,qPL_Fact!$A:$A,DATE(2025,8,1))+SUMIFS(qPL_Fact!$D:$D,qPL_Fact!$C:$C,$B30,qPL_Fact!$A:$A,DATE(2025,9,1))</f>
        <v/>
      </c>
      <c r="H30" s="38">
        <f>F30-G30</f>
        <v/>
      </c>
      <c r="I30" s="38">
        <f>SUMIFS(qPL_Fact!$D:$D,qPL_Fact!$C:$C,$B30,qPL_Fact!$A:$A,DATE(2025,1,1))+SUMIFS(qPL_Fact!$D:$D,qPL_Fact!$C:$C,$B30,qPL_Fact!$A:$A,DATE(2025,2,1))+SUMIFS(qPL_Fact!$D:$D,qPL_Fact!$C:$C,$B30,qPL_Fact!$A:$A,DATE(2025,3,1))+SUMIFS(qPL_Fact!$D:$D,qPL_Fact!$C:$C,$B30,qPL_Fact!$A:$A,DATE(2025,4,1))+SUMIFS(qPL_Fact!$D:$D,qPL_Fact!$C:$C,$B30,qPL_Fact!$A:$A,DATE(2025,5,1))+SUMIFS(qPL_Fact!$D:$D,qPL_Fact!$C:$C,$B30,qPL_Fact!$A:$A,DATE(2025,6,1))+SUMIFS(qPL_Fact!$D:$D,qPL_Fact!$C:$C,$B30,qPL_Fact!$A:$A,DATE(2025,7,1))+SUMIFS(qPL_Fact!$D:$D,qPL_Fact!$C:$C,$B30,qPL_Fact!$A:$A,DATE(2025,8,1))+SUMIFS(qPL_Fact!$D:$D,qPL_Fact!$C:$C,$B30,qPL_Fact!$A:$A,DATE(2025,9,1))+SUMIFS(qPL_Fact!$D:$D,qPL_Fact!$C:$C,$B30,qPL_Fact!$A:$A,DATE(2025,10,1))+SUMIFS(qPL_Fact!$D:$D,qPL_Fact!$C:$C,$B30,qPL_Fact!$A:$A,DATE(2025,11,1))+SUMIFS(qPL_Fact!$D:$D,qPL_Fact!$C:$C,$B30,qPL_Fact!$A:$A,DATE(2025,12,1))</f>
        <v/>
      </c>
      <c r="J30" s="38">
        <f>SUMIFS(qPL_Fact!$D:$D,qPL_Fact!$C:$C,$B30,qPL_Fact!$A:$A,DATE(2024,8,1))+SUMIFS(qPL_Fact!$D:$D,qPL_Fact!$C:$C,$B30,qPL_Fact!$A:$A,DATE(2024,9,1))+SUMIFS(qPL_Fact!$D:$D,qPL_Fact!$C:$C,$B30,qPL_Fact!$A:$A,DATE(2024,10,1))+SUMIFS(qPL_Fact!$D:$D,qPL_Fact!$C:$C,$B30,qPL_Fact!$A:$A,DATE(2024,11,1))+SUMIFS(qPL_Fact!$D:$D,qPL_Fact!$C:$C,$B30,qPL_Fact!$A:$A,DATE(2024,12,1))+SUMIFS(qPL_Fact!$D:$D,qPL_Fact!$C:$C,$B30,qPL_Fact!$A:$A,DATE(2025,1,1))+SUMIFS(qPL_Fact!$D:$D,qPL_Fact!$C:$C,$B30,qPL_Fact!$A:$A,DATE(2025,2,1))+SUMIFS(qPL_Fact!$D:$D,qPL_Fact!$C:$C,$B30,qPL_Fact!$A:$A,DATE(2025,3,1))+SUMIFS(qPL_Fact!$D:$D,qPL_Fact!$C:$C,$B30,qPL_Fact!$A:$A,DATE(2025,4,1))+SUMIFS(qPL_Fact!$D:$D,qPL_Fact!$C:$C,$B30,qPL_Fact!$A:$A,DATE(2025,5,1))+SUMIFS(qPL_Fact!$D:$D,qPL_Fact!$C:$C,$B30,qPL_Fact!$A:$A,DATE(2025,6,1))+SUMIFS(qPL_Fact!$D:$D,qPL_Fact!$C:$C,$B30,qPL_Fact!$A:$A,DATE(2025,7,1))</f>
        <v/>
      </c>
      <c r="K30" s="38">
        <f>I30-J30</f>
        <v/>
      </c>
    </row>
    <row r="31">
      <c r="A31" s="8" t="inlineStr">
        <is>
          <t>6003</t>
        </is>
      </c>
      <c r="B31" s="10" t="inlineStr">
        <is>
          <t>Advertising</t>
        </is>
      </c>
      <c r="C31" s="37">
        <f>SUMIFS(qPL_Fact!$D:$D,qPL_Fact!$C:$C,$B31,qPL_Fact!$A:$A,DATE(2025,12,1))</f>
        <v/>
      </c>
      <c r="D31" s="37">
        <f>SUMIFS(qPL_Fact!$D:$D,qPL_Fact!$C:$C,$B31,qPL_Fact!$A:$A,DATE(2025,11,1))</f>
        <v/>
      </c>
      <c r="E31" s="37">
        <f>C31-D31</f>
        <v/>
      </c>
      <c r="F31" s="37">
        <f>SUMIFS(qPL_Fact!$D:$D,qPL_Fact!$C:$C,$B31,qPL_Fact!$A:$A,DATE(2025,10,1))+SUMIFS(qPL_Fact!$D:$D,qPL_Fact!$C:$C,$B31,qPL_Fact!$A:$A,DATE(2025,11,1))+SUMIFS(qPL_Fact!$D:$D,qPL_Fact!$C:$C,$B31,qPL_Fact!$A:$A,DATE(2025,12,1))</f>
        <v/>
      </c>
      <c r="G31" s="37">
        <f>SUMIFS(qPL_Fact!$D:$D,qPL_Fact!$C:$C,$B31,qPL_Fact!$A:$A,DATE(2025,7,1))+SUMIFS(qPL_Fact!$D:$D,qPL_Fact!$C:$C,$B31,qPL_Fact!$A:$A,DATE(2025,8,1))+SUMIFS(qPL_Fact!$D:$D,qPL_Fact!$C:$C,$B31,qPL_Fact!$A:$A,DATE(2025,9,1))</f>
        <v/>
      </c>
      <c r="H31" s="37">
        <f>F31-G31</f>
        <v/>
      </c>
      <c r="I31" s="37">
        <f>SUMIFS(qPL_Fact!$D:$D,qPL_Fact!$C:$C,$B31,qPL_Fact!$A:$A,DATE(2025,1,1))+SUMIFS(qPL_Fact!$D:$D,qPL_Fact!$C:$C,$B31,qPL_Fact!$A:$A,DATE(2025,2,1))+SUMIFS(qPL_Fact!$D:$D,qPL_Fact!$C:$C,$B31,qPL_Fact!$A:$A,DATE(2025,3,1))+SUMIFS(qPL_Fact!$D:$D,qPL_Fact!$C:$C,$B31,qPL_Fact!$A:$A,DATE(2025,4,1))+SUMIFS(qPL_Fact!$D:$D,qPL_Fact!$C:$C,$B31,qPL_Fact!$A:$A,DATE(2025,5,1))+SUMIFS(qPL_Fact!$D:$D,qPL_Fact!$C:$C,$B31,qPL_Fact!$A:$A,DATE(2025,6,1))+SUMIFS(qPL_Fact!$D:$D,qPL_Fact!$C:$C,$B31,qPL_Fact!$A:$A,DATE(2025,7,1))+SUMIFS(qPL_Fact!$D:$D,qPL_Fact!$C:$C,$B31,qPL_Fact!$A:$A,DATE(2025,8,1))+SUMIFS(qPL_Fact!$D:$D,qPL_Fact!$C:$C,$B31,qPL_Fact!$A:$A,DATE(2025,9,1))+SUMIFS(qPL_Fact!$D:$D,qPL_Fact!$C:$C,$B31,qPL_Fact!$A:$A,DATE(2025,10,1))+SUMIFS(qPL_Fact!$D:$D,qPL_Fact!$C:$C,$B31,qPL_Fact!$A:$A,DATE(2025,11,1))+SUMIFS(qPL_Fact!$D:$D,qPL_Fact!$C:$C,$B31,qPL_Fact!$A:$A,DATE(2025,12,1))</f>
        <v/>
      </c>
      <c r="J31" s="37">
        <f>SUMIFS(qPL_Fact!$D:$D,qPL_Fact!$C:$C,$B31,qPL_Fact!$A:$A,DATE(2024,8,1))+SUMIFS(qPL_Fact!$D:$D,qPL_Fact!$C:$C,$B31,qPL_Fact!$A:$A,DATE(2024,9,1))+SUMIFS(qPL_Fact!$D:$D,qPL_Fact!$C:$C,$B31,qPL_Fact!$A:$A,DATE(2024,10,1))+SUMIFS(qPL_Fact!$D:$D,qPL_Fact!$C:$C,$B31,qPL_Fact!$A:$A,DATE(2024,11,1))+SUMIFS(qPL_Fact!$D:$D,qPL_Fact!$C:$C,$B31,qPL_Fact!$A:$A,DATE(2024,12,1))+SUMIFS(qPL_Fact!$D:$D,qPL_Fact!$C:$C,$B31,qPL_Fact!$A:$A,DATE(2025,1,1))+SUMIFS(qPL_Fact!$D:$D,qPL_Fact!$C:$C,$B31,qPL_Fact!$A:$A,DATE(2025,2,1))+SUMIFS(qPL_Fact!$D:$D,qPL_Fact!$C:$C,$B31,qPL_Fact!$A:$A,DATE(2025,3,1))+SUMIFS(qPL_Fact!$D:$D,qPL_Fact!$C:$C,$B31,qPL_Fact!$A:$A,DATE(2025,4,1))+SUMIFS(qPL_Fact!$D:$D,qPL_Fact!$C:$C,$B31,qPL_Fact!$A:$A,DATE(2025,5,1))+SUMIFS(qPL_Fact!$D:$D,qPL_Fact!$C:$C,$B31,qPL_Fact!$A:$A,DATE(2025,6,1))+SUMIFS(qPL_Fact!$D:$D,qPL_Fact!$C:$C,$B31,qPL_Fact!$A:$A,DATE(2025,7,1))</f>
        <v/>
      </c>
      <c r="K31" s="37">
        <f>I31-J31</f>
        <v/>
      </c>
    </row>
    <row r="32">
      <c r="A32" s="11" t="inlineStr">
        <is>
          <t>6171</t>
        </is>
      </c>
      <c r="B32" s="12" t="inlineStr">
        <is>
          <t>Electricity</t>
        </is>
      </c>
      <c r="C32" s="38">
        <f>SUMIFS(qPL_Fact!$D:$D,qPL_Fact!$C:$C,$B32,qPL_Fact!$A:$A,DATE(2025,12,1))</f>
        <v/>
      </c>
      <c r="D32" s="38">
        <f>SUMIFS(qPL_Fact!$D:$D,qPL_Fact!$C:$C,$B32,qPL_Fact!$A:$A,DATE(2025,11,1))</f>
        <v/>
      </c>
      <c r="E32" s="38">
        <f>C32-D32</f>
        <v/>
      </c>
      <c r="F32" s="38">
        <f>SUMIFS(qPL_Fact!$D:$D,qPL_Fact!$C:$C,$B32,qPL_Fact!$A:$A,DATE(2025,10,1))+SUMIFS(qPL_Fact!$D:$D,qPL_Fact!$C:$C,$B32,qPL_Fact!$A:$A,DATE(2025,11,1))+SUMIFS(qPL_Fact!$D:$D,qPL_Fact!$C:$C,$B32,qPL_Fact!$A:$A,DATE(2025,12,1))</f>
        <v/>
      </c>
      <c r="G32" s="38">
        <f>SUMIFS(qPL_Fact!$D:$D,qPL_Fact!$C:$C,$B32,qPL_Fact!$A:$A,DATE(2025,7,1))+SUMIFS(qPL_Fact!$D:$D,qPL_Fact!$C:$C,$B32,qPL_Fact!$A:$A,DATE(2025,8,1))+SUMIFS(qPL_Fact!$D:$D,qPL_Fact!$C:$C,$B32,qPL_Fact!$A:$A,DATE(2025,9,1))</f>
        <v/>
      </c>
      <c r="H32" s="38">
        <f>F32-G32</f>
        <v/>
      </c>
      <c r="I32" s="38">
        <f>SUMIFS(qPL_Fact!$D:$D,qPL_Fact!$C:$C,$B32,qPL_Fact!$A:$A,DATE(2025,1,1))+SUMIFS(qPL_Fact!$D:$D,qPL_Fact!$C:$C,$B32,qPL_Fact!$A:$A,DATE(2025,2,1))+SUMIFS(qPL_Fact!$D:$D,qPL_Fact!$C:$C,$B32,qPL_Fact!$A:$A,DATE(2025,3,1))+SUMIFS(qPL_Fact!$D:$D,qPL_Fact!$C:$C,$B32,qPL_Fact!$A:$A,DATE(2025,4,1))+SUMIFS(qPL_Fact!$D:$D,qPL_Fact!$C:$C,$B32,qPL_Fact!$A:$A,DATE(2025,5,1))+SUMIFS(qPL_Fact!$D:$D,qPL_Fact!$C:$C,$B32,qPL_Fact!$A:$A,DATE(2025,6,1))+SUMIFS(qPL_Fact!$D:$D,qPL_Fact!$C:$C,$B32,qPL_Fact!$A:$A,DATE(2025,7,1))+SUMIFS(qPL_Fact!$D:$D,qPL_Fact!$C:$C,$B32,qPL_Fact!$A:$A,DATE(2025,8,1))+SUMIFS(qPL_Fact!$D:$D,qPL_Fact!$C:$C,$B32,qPL_Fact!$A:$A,DATE(2025,9,1))+SUMIFS(qPL_Fact!$D:$D,qPL_Fact!$C:$C,$B32,qPL_Fact!$A:$A,DATE(2025,10,1))+SUMIFS(qPL_Fact!$D:$D,qPL_Fact!$C:$C,$B32,qPL_Fact!$A:$A,DATE(2025,11,1))+SUMIFS(qPL_Fact!$D:$D,qPL_Fact!$C:$C,$B32,qPL_Fact!$A:$A,DATE(2025,12,1))</f>
        <v/>
      </c>
      <c r="J32" s="38">
        <f>SUMIFS(qPL_Fact!$D:$D,qPL_Fact!$C:$C,$B32,qPL_Fact!$A:$A,DATE(2024,8,1))+SUMIFS(qPL_Fact!$D:$D,qPL_Fact!$C:$C,$B32,qPL_Fact!$A:$A,DATE(2024,9,1))+SUMIFS(qPL_Fact!$D:$D,qPL_Fact!$C:$C,$B32,qPL_Fact!$A:$A,DATE(2024,10,1))+SUMIFS(qPL_Fact!$D:$D,qPL_Fact!$C:$C,$B32,qPL_Fact!$A:$A,DATE(2024,11,1))+SUMIFS(qPL_Fact!$D:$D,qPL_Fact!$C:$C,$B32,qPL_Fact!$A:$A,DATE(2024,12,1))+SUMIFS(qPL_Fact!$D:$D,qPL_Fact!$C:$C,$B32,qPL_Fact!$A:$A,DATE(2025,1,1))+SUMIFS(qPL_Fact!$D:$D,qPL_Fact!$C:$C,$B32,qPL_Fact!$A:$A,DATE(2025,2,1))+SUMIFS(qPL_Fact!$D:$D,qPL_Fact!$C:$C,$B32,qPL_Fact!$A:$A,DATE(2025,3,1))+SUMIFS(qPL_Fact!$D:$D,qPL_Fact!$C:$C,$B32,qPL_Fact!$A:$A,DATE(2025,4,1))+SUMIFS(qPL_Fact!$D:$D,qPL_Fact!$C:$C,$B32,qPL_Fact!$A:$A,DATE(2025,5,1))+SUMIFS(qPL_Fact!$D:$D,qPL_Fact!$C:$C,$B32,qPL_Fact!$A:$A,DATE(2025,6,1))+SUMIFS(qPL_Fact!$D:$D,qPL_Fact!$C:$C,$B32,qPL_Fact!$A:$A,DATE(2025,7,1))</f>
        <v/>
      </c>
      <c r="K32" s="38">
        <f>I32-J32</f>
        <v/>
      </c>
    </row>
    <row r="33">
      <c r="A33" s="8" t="inlineStr">
        <is>
          <t>6172</t>
        </is>
      </c>
      <c r="B33" s="10" t="inlineStr">
        <is>
          <t>Gas</t>
        </is>
      </c>
      <c r="C33" s="37">
        <f>SUMIFS(qPL_Fact!$D:$D,qPL_Fact!$C:$C,$B33,qPL_Fact!$A:$A,DATE(2025,12,1))</f>
        <v/>
      </c>
      <c r="D33" s="37">
        <f>SUMIFS(qPL_Fact!$D:$D,qPL_Fact!$C:$C,$B33,qPL_Fact!$A:$A,DATE(2025,11,1))</f>
        <v/>
      </c>
      <c r="E33" s="37">
        <f>C33-D33</f>
        <v/>
      </c>
      <c r="F33" s="37">
        <f>SUMIFS(qPL_Fact!$D:$D,qPL_Fact!$C:$C,$B33,qPL_Fact!$A:$A,DATE(2025,10,1))+SUMIFS(qPL_Fact!$D:$D,qPL_Fact!$C:$C,$B33,qPL_Fact!$A:$A,DATE(2025,11,1))+SUMIFS(qPL_Fact!$D:$D,qPL_Fact!$C:$C,$B33,qPL_Fact!$A:$A,DATE(2025,12,1))</f>
        <v/>
      </c>
      <c r="G33" s="37">
        <f>SUMIFS(qPL_Fact!$D:$D,qPL_Fact!$C:$C,$B33,qPL_Fact!$A:$A,DATE(2025,7,1))+SUMIFS(qPL_Fact!$D:$D,qPL_Fact!$C:$C,$B33,qPL_Fact!$A:$A,DATE(2025,8,1))+SUMIFS(qPL_Fact!$D:$D,qPL_Fact!$C:$C,$B33,qPL_Fact!$A:$A,DATE(2025,9,1))</f>
        <v/>
      </c>
      <c r="H33" s="37">
        <f>F33-G33</f>
        <v/>
      </c>
      <c r="I33" s="37">
        <f>SUMIFS(qPL_Fact!$D:$D,qPL_Fact!$C:$C,$B33,qPL_Fact!$A:$A,DATE(2025,1,1))+SUMIFS(qPL_Fact!$D:$D,qPL_Fact!$C:$C,$B33,qPL_Fact!$A:$A,DATE(2025,2,1))+SUMIFS(qPL_Fact!$D:$D,qPL_Fact!$C:$C,$B33,qPL_Fact!$A:$A,DATE(2025,3,1))+SUMIFS(qPL_Fact!$D:$D,qPL_Fact!$C:$C,$B33,qPL_Fact!$A:$A,DATE(2025,4,1))+SUMIFS(qPL_Fact!$D:$D,qPL_Fact!$C:$C,$B33,qPL_Fact!$A:$A,DATE(2025,5,1))+SUMIFS(qPL_Fact!$D:$D,qPL_Fact!$C:$C,$B33,qPL_Fact!$A:$A,DATE(2025,6,1))+SUMIFS(qPL_Fact!$D:$D,qPL_Fact!$C:$C,$B33,qPL_Fact!$A:$A,DATE(2025,7,1))+SUMIFS(qPL_Fact!$D:$D,qPL_Fact!$C:$C,$B33,qPL_Fact!$A:$A,DATE(2025,8,1))+SUMIFS(qPL_Fact!$D:$D,qPL_Fact!$C:$C,$B33,qPL_Fact!$A:$A,DATE(2025,9,1))+SUMIFS(qPL_Fact!$D:$D,qPL_Fact!$C:$C,$B33,qPL_Fact!$A:$A,DATE(2025,10,1))+SUMIFS(qPL_Fact!$D:$D,qPL_Fact!$C:$C,$B33,qPL_Fact!$A:$A,DATE(2025,11,1))+SUMIFS(qPL_Fact!$D:$D,qPL_Fact!$C:$C,$B33,qPL_Fact!$A:$A,DATE(2025,12,1))</f>
        <v/>
      </c>
      <c r="J33" s="37">
        <f>SUMIFS(qPL_Fact!$D:$D,qPL_Fact!$C:$C,$B33,qPL_Fact!$A:$A,DATE(2024,8,1))+SUMIFS(qPL_Fact!$D:$D,qPL_Fact!$C:$C,$B33,qPL_Fact!$A:$A,DATE(2024,9,1))+SUMIFS(qPL_Fact!$D:$D,qPL_Fact!$C:$C,$B33,qPL_Fact!$A:$A,DATE(2024,10,1))+SUMIFS(qPL_Fact!$D:$D,qPL_Fact!$C:$C,$B33,qPL_Fact!$A:$A,DATE(2024,11,1))+SUMIFS(qPL_Fact!$D:$D,qPL_Fact!$C:$C,$B33,qPL_Fact!$A:$A,DATE(2024,12,1))+SUMIFS(qPL_Fact!$D:$D,qPL_Fact!$C:$C,$B33,qPL_Fact!$A:$A,DATE(2025,1,1))+SUMIFS(qPL_Fact!$D:$D,qPL_Fact!$C:$C,$B33,qPL_Fact!$A:$A,DATE(2025,2,1))+SUMIFS(qPL_Fact!$D:$D,qPL_Fact!$C:$C,$B33,qPL_Fact!$A:$A,DATE(2025,3,1))+SUMIFS(qPL_Fact!$D:$D,qPL_Fact!$C:$C,$B33,qPL_Fact!$A:$A,DATE(2025,4,1))+SUMIFS(qPL_Fact!$D:$D,qPL_Fact!$C:$C,$B33,qPL_Fact!$A:$A,DATE(2025,5,1))+SUMIFS(qPL_Fact!$D:$D,qPL_Fact!$C:$C,$B33,qPL_Fact!$A:$A,DATE(2025,6,1))+SUMIFS(qPL_Fact!$D:$D,qPL_Fact!$C:$C,$B33,qPL_Fact!$A:$A,DATE(2025,7,1))</f>
        <v/>
      </c>
      <c r="K33" s="37">
        <f>I33-J33</f>
        <v/>
      </c>
    </row>
    <row r="34">
      <c r="A34" s="11" t="inlineStr">
        <is>
          <t>6173</t>
        </is>
      </c>
      <c r="B34" s="12" t="inlineStr">
        <is>
          <t>Water</t>
        </is>
      </c>
      <c r="C34" s="38">
        <f>SUMIFS(qPL_Fact!$D:$D,qPL_Fact!$C:$C,$B34,qPL_Fact!$A:$A,DATE(2025,12,1))</f>
        <v/>
      </c>
      <c r="D34" s="38">
        <f>SUMIFS(qPL_Fact!$D:$D,qPL_Fact!$C:$C,$B34,qPL_Fact!$A:$A,DATE(2025,11,1))</f>
        <v/>
      </c>
      <c r="E34" s="38">
        <f>C34-D34</f>
        <v/>
      </c>
      <c r="F34" s="38">
        <f>SUMIFS(qPL_Fact!$D:$D,qPL_Fact!$C:$C,$B34,qPL_Fact!$A:$A,DATE(2025,10,1))+SUMIFS(qPL_Fact!$D:$D,qPL_Fact!$C:$C,$B34,qPL_Fact!$A:$A,DATE(2025,11,1))+SUMIFS(qPL_Fact!$D:$D,qPL_Fact!$C:$C,$B34,qPL_Fact!$A:$A,DATE(2025,12,1))</f>
        <v/>
      </c>
      <c r="G34" s="38">
        <f>SUMIFS(qPL_Fact!$D:$D,qPL_Fact!$C:$C,$B34,qPL_Fact!$A:$A,DATE(2025,7,1))+SUMIFS(qPL_Fact!$D:$D,qPL_Fact!$C:$C,$B34,qPL_Fact!$A:$A,DATE(2025,8,1))+SUMIFS(qPL_Fact!$D:$D,qPL_Fact!$C:$C,$B34,qPL_Fact!$A:$A,DATE(2025,9,1))</f>
        <v/>
      </c>
      <c r="H34" s="38">
        <f>F34-G34</f>
        <v/>
      </c>
      <c r="I34" s="38">
        <f>SUMIFS(qPL_Fact!$D:$D,qPL_Fact!$C:$C,$B34,qPL_Fact!$A:$A,DATE(2025,1,1))+SUMIFS(qPL_Fact!$D:$D,qPL_Fact!$C:$C,$B34,qPL_Fact!$A:$A,DATE(2025,2,1))+SUMIFS(qPL_Fact!$D:$D,qPL_Fact!$C:$C,$B34,qPL_Fact!$A:$A,DATE(2025,3,1))+SUMIFS(qPL_Fact!$D:$D,qPL_Fact!$C:$C,$B34,qPL_Fact!$A:$A,DATE(2025,4,1))+SUMIFS(qPL_Fact!$D:$D,qPL_Fact!$C:$C,$B34,qPL_Fact!$A:$A,DATE(2025,5,1))+SUMIFS(qPL_Fact!$D:$D,qPL_Fact!$C:$C,$B34,qPL_Fact!$A:$A,DATE(2025,6,1))+SUMIFS(qPL_Fact!$D:$D,qPL_Fact!$C:$C,$B34,qPL_Fact!$A:$A,DATE(2025,7,1))+SUMIFS(qPL_Fact!$D:$D,qPL_Fact!$C:$C,$B34,qPL_Fact!$A:$A,DATE(2025,8,1))+SUMIFS(qPL_Fact!$D:$D,qPL_Fact!$C:$C,$B34,qPL_Fact!$A:$A,DATE(2025,9,1))+SUMIFS(qPL_Fact!$D:$D,qPL_Fact!$C:$C,$B34,qPL_Fact!$A:$A,DATE(2025,10,1))+SUMIFS(qPL_Fact!$D:$D,qPL_Fact!$C:$C,$B34,qPL_Fact!$A:$A,DATE(2025,11,1))+SUMIFS(qPL_Fact!$D:$D,qPL_Fact!$C:$C,$B34,qPL_Fact!$A:$A,DATE(2025,12,1))</f>
        <v/>
      </c>
      <c r="J34" s="38">
        <f>SUMIFS(qPL_Fact!$D:$D,qPL_Fact!$C:$C,$B34,qPL_Fact!$A:$A,DATE(2024,8,1))+SUMIFS(qPL_Fact!$D:$D,qPL_Fact!$C:$C,$B34,qPL_Fact!$A:$A,DATE(2024,9,1))+SUMIFS(qPL_Fact!$D:$D,qPL_Fact!$C:$C,$B34,qPL_Fact!$A:$A,DATE(2024,10,1))+SUMIFS(qPL_Fact!$D:$D,qPL_Fact!$C:$C,$B34,qPL_Fact!$A:$A,DATE(2024,11,1))+SUMIFS(qPL_Fact!$D:$D,qPL_Fact!$C:$C,$B34,qPL_Fact!$A:$A,DATE(2024,12,1))+SUMIFS(qPL_Fact!$D:$D,qPL_Fact!$C:$C,$B34,qPL_Fact!$A:$A,DATE(2025,1,1))+SUMIFS(qPL_Fact!$D:$D,qPL_Fact!$C:$C,$B34,qPL_Fact!$A:$A,DATE(2025,2,1))+SUMIFS(qPL_Fact!$D:$D,qPL_Fact!$C:$C,$B34,qPL_Fact!$A:$A,DATE(2025,3,1))+SUMIFS(qPL_Fact!$D:$D,qPL_Fact!$C:$C,$B34,qPL_Fact!$A:$A,DATE(2025,4,1))+SUMIFS(qPL_Fact!$D:$D,qPL_Fact!$C:$C,$B34,qPL_Fact!$A:$A,DATE(2025,5,1))+SUMIFS(qPL_Fact!$D:$D,qPL_Fact!$C:$C,$B34,qPL_Fact!$A:$A,DATE(2025,6,1))+SUMIFS(qPL_Fact!$D:$D,qPL_Fact!$C:$C,$B34,qPL_Fact!$A:$A,DATE(2025,7,1))</f>
        <v/>
      </c>
      <c r="K34" s="38">
        <f>I34-J34</f>
        <v/>
      </c>
    </row>
    <row r="35">
      <c r="A35" s="8" t="inlineStr">
        <is>
          <t>6175</t>
        </is>
      </c>
      <c r="B35" s="10" t="inlineStr">
        <is>
          <t>Garbage &amp; Recycling</t>
        </is>
      </c>
      <c r="C35" s="37">
        <f>SUMIFS(qPL_Fact!$D:$D,qPL_Fact!$C:$C,$B35,qPL_Fact!$A:$A,DATE(2025,12,1))</f>
        <v/>
      </c>
      <c r="D35" s="37">
        <f>SUMIFS(qPL_Fact!$D:$D,qPL_Fact!$C:$C,$B35,qPL_Fact!$A:$A,DATE(2025,11,1))</f>
        <v/>
      </c>
      <c r="E35" s="37">
        <f>C35-D35</f>
        <v/>
      </c>
      <c r="F35" s="37">
        <f>SUMIFS(qPL_Fact!$D:$D,qPL_Fact!$C:$C,$B35,qPL_Fact!$A:$A,DATE(2025,10,1))+SUMIFS(qPL_Fact!$D:$D,qPL_Fact!$C:$C,$B35,qPL_Fact!$A:$A,DATE(2025,11,1))+SUMIFS(qPL_Fact!$D:$D,qPL_Fact!$C:$C,$B35,qPL_Fact!$A:$A,DATE(2025,12,1))</f>
        <v/>
      </c>
      <c r="G35" s="37">
        <f>SUMIFS(qPL_Fact!$D:$D,qPL_Fact!$C:$C,$B35,qPL_Fact!$A:$A,DATE(2025,7,1))+SUMIFS(qPL_Fact!$D:$D,qPL_Fact!$C:$C,$B35,qPL_Fact!$A:$A,DATE(2025,8,1))+SUMIFS(qPL_Fact!$D:$D,qPL_Fact!$C:$C,$B35,qPL_Fact!$A:$A,DATE(2025,9,1))</f>
        <v/>
      </c>
      <c r="H35" s="37">
        <f>F35-G35</f>
        <v/>
      </c>
      <c r="I35" s="37">
        <f>SUMIFS(qPL_Fact!$D:$D,qPL_Fact!$C:$C,$B35,qPL_Fact!$A:$A,DATE(2025,1,1))+SUMIFS(qPL_Fact!$D:$D,qPL_Fact!$C:$C,$B35,qPL_Fact!$A:$A,DATE(2025,2,1))+SUMIFS(qPL_Fact!$D:$D,qPL_Fact!$C:$C,$B35,qPL_Fact!$A:$A,DATE(2025,3,1))+SUMIFS(qPL_Fact!$D:$D,qPL_Fact!$C:$C,$B35,qPL_Fact!$A:$A,DATE(2025,4,1))+SUMIFS(qPL_Fact!$D:$D,qPL_Fact!$C:$C,$B35,qPL_Fact!$A:$A,DATE(2025,5,1))+SUMIFS(qPL_Fact!$D:$D,qPL_Fact!$C:$C,$B35,qPL_Fact!$A:$A,DATE(2025,6,1))+SUMIFS(qPL_Fact!$D:$D,qPL_Fact!$C:$C,$B35,qPL_Fact!$A:$A,DATE(2025,7,1))+SUMIFS(qPL_Fact!$D:$D,qPL_Fact!$C:$C,$B35,qPL_Fact!$A:$A,DATE(2025,8,1))+SUMIFS(qPL_Fact!$D:$D,qPL_Fact!$C:$C,$B35,qPL_Fact!$A:$A,DATE(2025,9,1))+SUMIFS(qPL_Fact!$D:$D,qPL_Fact!$C:$C,$B35,qPL_Fact!$A:$A,DATE(2025,10,1))+SUMIFS(qPL_Fact!$D:$D,qPL_Fact!$C:$C,$B35,qPL_Fact!$A:$A,DATE(2025,11,1))+SUMIFS(qPL_Fact!$D:$D,qPL_Fact!$C:$C,$B35,qPL_Fact!$A:$A,DATE(2025,12,1))</f>
        <v/>
      </c>
      <c r="J35" s="37">
        <f>SUMIFS(qPL_Fact!$D:$D,qPL_Fact!$C:$C,$B35,qPL_Fact!$A:$A,DATE(2024,8,1))+SUMIFS(qPL_Fact!$D:$D,qPL_Fact!$C:$C,$B35,qPL_Fact!$A:$A,DATE(2024,9,1))+SUMIFS(qPL_Fact!$D:$D,qPL_Fact!$C:$C,$B35,qPL_Fact!$A:$A,DATE(2024,10,1))+SUMIFS(qPL_Fact!$D:$D,qPL_Fact!$C:$C,$B35,qPL_Fact!$A:$A,DATE(2024,11,1))+SUMIFS(qPL_Fact!$D:$D,qPL_Fact!$C:$C,$B35,qPL_Fact!$A:$A,DATE(2024,12,1))+SUMIFS(qPL_Fact!$D:$D,qPL_Fact!$C:$C,$B35,qPL_Fact!$A:$A,DATE(2025,1,1))+SUMIFS(qPL_Fact!$D:$D,qPL_Fact!$C:$C,$B35,qPL_Fact!$A:$A,DATE(2025,2,1))+SUMIFS(qPL_Fact!$D:$D,qPL_Fact!$C:$C,$B35,qPL_Fact!$A:$A,DATE(2025,3,1))+SUMIFS(qPL_Fact!$D:$D,qPL_Fact!$C:$C,$B35,qPL_Fact!$A:$A,DATE(2025,4,1))+SUMIFS(qPL_Fact!$D:$D,qPL_Fact!$C:$C,$B35,qPL_Fact!$A:$A,DATE(2025,5,1))+SUMIFS(qPL_Fact!$D:$D,qPL_Fact!$C:$C,$B35,qPL_Fact!$A:$A,DATE(2025,6,1))+SUMIFS(qPL_Fact!$D:$D,qPL_Fact!$C:$C,$B35,qPL_Fact!$A:$A,DATE(2025,7,1))</f>
        <v/>
      </c>
      <c r="K35" s="37">
        <f>I35-J35</f>
        <v/>
      </c>
    </row>
    <row r="36">
      <c r="A36" s="11" t="inlineStr">
        <is>
          <t>6176</t>
        </is>
      </c>
      <c r="B36" s="12" t="inlineStr">
        <is>
          <t>Internet</t>
        </is>
      </c>
      <c r="C36" s="38">
        <f>SUMIFS(qPL_Fact!$D:$D,qPL_Fact!$C:$C,$B36,qPL_Fact!$A:$A,DATE(2025,12,1))</f>
        <v/>
      </c>
      <c r="D36" s="38">
        <f>SUMIFS(qPL_Fact!$D:$D,qPL_Fact!$C:$C,$B36,qPL_Fact!$A:$A,DATE(2025,11,1))</f>
        <v/>
      </c>
      <c r="E36" s="38">
        <f>C36-D36</f>
        <v/>
      </c>
      <c r="F36" s="38">
        <f>SUMIFS(qPL_Fact!$D:$D,qPL_Fact!$C:$C,$B36,qPL_Fact!$A:$A,DATE(2025,10,1))+SUMIFS(qPL_Fact!$D:$D,qPL_Fact!$C:$C,$B36,qPL_Fact!$A:$A,DATE(2025,11,1))+SUMIFS(qPL_Fact!$D:$D,qPL_Fact!$C:$C,$B36,qPL_Fact!$A:$A,DATE(2025,12,1))</f>
        <v/>
      </c>
      <c r="G36" s="38">
        <f>SUMIFS(qPL_Fact!$D:$D,qPL_Fact!$C:$C,$B36,qPL_Fact!$A:$A,DATE(2025,7,1))+SUMIFS(qPL_Fact!$D:$D,qPL_Fact!$C:$C,$B36,qPL_Fact!$A:$A,DATE(2025,8,1))+SUMIFS(qPL_Fact!$D:$D,qPL_Fact!$C:$C,$B36,qPL_Fact!$A:$A,DATE(2025,9,1))</f>
        <v/>
      </c>
      <c r="H36" s="38">
        <f>F36-G36</f>
        <v/>
      </c>
      <c r="I36" s="38">
        <f>SUMIFS(qPL_Fact!$D:$D,qPL_Fact!$C:$C,$B36,qPL_Fact!$A:$A,DATE(2025,1,1))+SUMIFS(qPL_Fact!$D:$D,qPL_Fact!$C:$C,$B36,qPL_Fact!$A:$A,DATE(2025,2,1))+SUMIFS(qPL_Fact!$D:$D,qPL_Fact!$C:$C,$B36,qPL_Fact!$A:$A,DATE(2025,3,1))+SUMIFS(qPL_Fact!$D:$D,qPL_Fact!$C:$C,$B36,qPL_Fact!$A:$A,DATE(2025,4,1))+SUMIFS(qPL_Fact!$D:$D,qPL_Fact!$C:$C,$B36,qPL_Fact!$A:$A,DATE(2025,5,1))+SUMIFS(qPL_Fact!$D:$D,qPL_Fact!$C:$C,$B36,qPL_Fact!$A:$A,DATE(2025,6,1))+SUMIFS(qPL_Fact!$D:$D,qPL_Fact!$C:$C,$B36,qPL_Fact!$A:$A,DATE(2025,7,1))+SUMIFS(qPL_Fact!$D:$D,qPL_Fact!$C:$C,$B36,qPL_Fact!$A:$A,DATE(2025,8,1))+SUMIFS(qPL_Fact!$D:$D,qPL_Fact!$C:$C,$B36,qPL_Fact!$A:$A,DATE(2025,9,1))+SUMIFS(qPL_Fact!$D:$D,qPL_Fact!$C:$C,$B36,qPL_Fact!$A:$A,DATE(2025,10,1))+SUMIFS(qPL_Fact!$D:$D,qPL_Fact!$C:$C,$B36,qPL_Fact!$A:$A,DATE(2025,11,1))+SUMIFS(qPL_Fact!$D:$D,qPL_Fact!$C:$C,$B36,qPL_Fact!$A:$A,DATE(2025,12,1))</f>
        <v/>
      </c>
      <c r="J36" s="38">
        <f>SUMIFS(qPL_Fact!$D:$D,qPL_Fact!$C:$C,$B36,qPL_Fact!$A:$A,DATE(2024,8,1))+SUMIFS(qPL_Fact!$D:$D,qPL_Fact!$C:$C,$B36,qPL_Fact!$A:$A,DATE(2024,9,1))+SUMIFS(qPL_Fact!$D:$D,qPL_Fact!$C:$C,$B36,qPL_Fact!$A:$A,DATE(2024,10,1))+SUMIFS(qPL_Fact!$D:$D,qPL_Fact!$C:$C,$B36,qPL_Fact!$A:$A,DATE(2024,11,1))+SUMIFS(qPL_Fact!$D:$D,qPL_Fact!$C:$C,$B36,qPL_Fact!$A:$A,DATE(2024,12,1))+SUMIFS(qPL_Fact!$D:$D,qPL_Fact!$C:$C,$B36,qPL_Fact!$A:$A,DATE(2025,1,1))+SUMIFS(qPL_Fact!$D:$D,qPL_Fact!$C:$C,$B36,qPL_Fact!$A:$A,DATE(2025,2,1))+SUMIFS(qPL_Fact!$D:$D,qPL_Fact!$C:$C,$B36,qPL_Fact!$A:$A,DATE(2025,3,1))+SUMIFS(qPL_Fact!$D:$D,qPL_Fact!$C:$C,$B36,qPL_Fact!$A:$A,DATE(2025,4,1))+SUMIFS(qPL_Fact!$D:$D,qPL_Fact!$C:$C,$B36,qPL_Fact!$A:$A,DATE(2025,5,1))+SUMIFS(qPL_Fact!$D:$D,qPL_Fact!$C:$C,$B36,qPL_Fact!$A:$A,DATE(2025,6,1))+SUMIFS(qPL_Fact!$D:$D,qPL_Fact!$C:$C,$B36,qPL_Fact!$A:$A,DATE(2025,7,1))</f>
        <v/>
      </c>
      <c r="K36" s="38">
        <f>I36-J36</f>
        <v/>
      </c>
    </row>
    <row r="37">
      <c r="A37" s="8" t="inlineStr">
        <is>
          <t>6111</t>
        </is>
      </c>
      <c r="B37" s="10" t="inlineStr">
        <is>
          <t>Management Fee (4%)</t>
        </is>
      </c>
      <c r="C37" s="37">
        <f>SUMIFS(qPL_Fact!$D:$D,qPL_Fact!$C:$C,$B37,qPL_Fact!$A:$A,DATE(2025,12,1))</f>
        <v/>
      </c>
      <c r="D37" s="37">
        <f>SUMIFS(qPL_Fact!$D:$D,qPL_Fact!$C:$C,$B37,qPL_Fact!$A:$A,DATE(2025,11,1))</f>
        <v/>
      </c>
      <c r="E37" s="37">
        <f>C37-D37</f>
        <v/>
      </c>
      <c r="F37" s="37">
        <f>SUMIFS(qPL_Fact!$D:$D,qPL_Fact!$C:$C,$B37,qPL_Fact!$A:$A,DATE(2025,10,1))+SUMIFS(qPL_Fact!$D:$D,qPL_Fact!$C:$C,$B37,qPL_Fact!$A:$A,DATE(2025,11,1))+SUMIFS(qPL_Fact!$D:$D,qPL_Fact!$C:$C,$B37,qPL_Fact!$A:$A,DATE(2025,12,1))</f>
        <v/>
      </c>
      <c r="G37" s="37">
        <f>SUMIFS(qPL_Fact!$D:$D,qPL_Fact!$C:$C,$B37,qPL_Fact!$A:$A,DATE(2025,7,1))+SUMIFS(qPL_Fact!$D:$D,qPL_Fact!$C:$C,$B37,qPL_Fact!$A:$A,DATE(2025,8,1))+SUMIFS(qPL_Fact!$D:$D,qPL_Fact!$C:$C,$B37,qPL_Fact!$A:$A,DATE(2025,9,1))</f>
        <v/>
      </c>
      <c r="H37" s="37">
        <f>F37-G37</f>
        <v/>
      </c>
      <c r="I37" s="37">
        <f>SUMIFS(qPL_Fact!$D:$D,qPL_Fact!$C:$C,$B37,qPL_Fact!$A:$A,DATE(2025,1,1))+SUMIFS(qPL_Fact!$D:$D,qPL_Fact!$C:$C,$B37,qPL_Fact!$A:$A,DATE(2025,2,1))+SUMIFS(qPL_Fact!$D:$D,qPL_Fact!$C:$C,$B37,qPL_Fact!$A:$A,DATE(2025,3,1))+SUMIFS(qPL_Fact!$D:$D,qPL_Fact!$C:$C,$B37,qPL_Fact!$A:$A,DATE(2025,4,1))+SUMIFS(qPL_Fact!$D:$D,qPL_Fact!$C:$C,$B37,qPL_Fact!$A:$A,DATE(2025,5,1))+SUMIFS(qPL_Fact!$D:$D,qPL_Fact!$C:$C,$B37,qPL_Fact!$A:$A,DATE(2025,6,1))+SUMIFS(qPL_Fact!$D:$D,qPL_Fact!$C:$C,$B37,qPL_Fact!$A:$A,DATE(2025,7,1))+SUMIFS(qPL_Fact!$D:$D,qPL_Fact!$C:$C,$B37,qPL_Fact!$A:$A,DATE(2025,8,1))+SUMIFS(qPL_Fact!$D:$D,qPL_Fact!$C:$C,$B37,qPL_Fact!$A:$A,DATE(2025,9,1))+SUMIFS(qPL_Fact!$D:$D,qPL_Fact!$C:$C,$B37,qPL_Fact!$A:$A,DATE(2025,10,1))+SUMIFS(qPL_Fact!$D:$D,qPL_Fact!$C:$C,$B37,qPL_Fact!$A:$A,DATE(2025,11,1))+SUMIFS(qPL_Fact!$D:$D,qPL_Fact!$C:$C,$B37,qPL_Fact!$A:$A,DATE(2025,12,1))</f>
        <v/>
      </c>
      <c r="J37" s="37">
        <f>SUMIFS(qPL_Fact!$D:$D,qPL_Fact!$C:$C,$B37,qPL_Fact!$A:$A,DATE(2024,8,1))+SUMIFS(qPL_Fact!$D:$D,qPL_Fact!$C:$C,$B37,qPL_Fact!$A:$A,DATE(2024,9,1))+SUMIFS(qPL_Fact!$D:$D,qPL_Fact!$C:$C,$B37,qPL_Fact!$A:$A,DATE(2024,10,1))+SUMIFS(qPL_Fact!$D:$D,qPL_Fact!$C:$C,$B37,qPL_Fact!$A:$A,DATE(2024,11,1))+SUMIFS(qPL_Fact!$D:$D,qPL_Fact!$C:$C,$B37,qPL_Fact!$A:$A,DATE(2024,12,1))+SUMIFS(qPL_Fact!$D:$D,qPL_Fact!$C:$C,$B37,qPL_Fact!$A:$A,DATE(2025,1,1))+SUMIFS(qPL_Fact!$D:$D,qPL_Fact!$C:$C,$B37,qPL_Fact!$A:$A,DATE(2025,2,1))+SUMIFS(qPL_Fact!$D:$D,qPL_Fact!$C:$C,$B37,qPL_Fact!$A:$A,DATE(2025,3,1))+SUMIFS(qPL_Fact!$D:$D,qPL_Fact!$C:$C,$B37,qPL_Fact!$A:$A,DATE(2025,4,1))+SUMIFS(qPL_Fact!$D:$D,qPL_Fact!$C:$C,$B37,qPL_Fact!$A:$A,DATE(2025,5,1))+SUMIFS(qPL_Fact!$D:$D,qPL_Fact!$C:$C,$B37,qPL_Fact!$A:$A,DATE(2025,6,1))+SUMIFS(qPL_Fact!$D:$D,qPL_Fact!$C:$C,$B37,qPL_Fact!$A:$A,DATE(2025,7,1))</f>
        <v/>
      </c>
      <c r="K37" s="37">
        <f>I37-J37</f>
        <v/>
      </c>
    </row>
    <row r="38">
      <c r="A38" s="11" t="inlineStr">
        <is>
          <t>6073</t>
        </is>
      </c>
      <c r="B38" s="12" t="inlineStr">
        <is>
          <t>General Maint. Labor</t>
        </is>
      </c>
      <c r="C38" s="38">
        <f>SUMIFS(qPL_Fact!$D:$D,qPL_Fact!$C:$C,$B38,qPL_Fact!$A:$A,DATE(2025,12,1))</f>
        <v/>
      </c>
      <c r="D38" s="38">
        <f>SUMIFS(qPL_Fact!$D:$D,qPL_Fact!$C:$C,$B38,qPL_Fact!$A:$A,DATE(2025,11,1))</f>
        <v/>
      </c>
      <c r="E38" s="38">
        <f>C38-D38</f>
        <v/>
      </c>
      <c r="F38" s="38">
        <f>SUMIFS(qPL_Fact!$D:$D,qPL_Fact!$C:$C,$B38,qPL_Fact!$A:$A,DATE(2025,10,1))+SUMIFS(qPL_Fact!$D:$D,qPL_Fact!$C:$C,$B38,qPL_Fact!$A:$A,DATE(2025,11,1))+SUMIFS(qPL_Fact!$D:$D,qPL_Fact!$C:$C,$B38,qPL_Fact!$A:$A,DATE(2025,12,1))</f>
        <v/>
      </c>
      <c r="G38" s="38">
        <f>SUMIFS(qPL_Fact!$D:$D,qPL_Fact!$C:$C,$B38,qPL_Fact!$A:$A,DATE(2025,7,1))+SUMIFS(qPL_Fact!$D:$D,qPL_Fact!$C:$C,$B38,qPL_Fact!$A:$A,DATE(2025,8,1))+SUMIFS(qPL_Fact!$D:$D,qPL_Fact!$C:$C,$B38,qPL_Fact!$A:$A,DATE(2025,9,1))</f>
        <v/>
      </c>
      <c r="H38" s="38">
        <f>F38-G38</f>
        <v/>
      </c>
      <c r="I38" s="38">
        <f>SUMIFS(qPL_Fact!$D:$D,qPL_Fact!$C:$C,$B38,qPL_Fact!$A:$A,DATE(2025,1,1))+SUMIFS(qPL_Fact!$D:$D,qPL_Fact!$C:$C,$B38,qPL_Fact!$A:$A,DATE(2025,2,1))+SUMIFS(qPL_Fact!$D:$D,qPL_Fact!$C:$C,$B38,qPL_Fact!$A:$A,DATE(2025,3,1))+SUMIFS(qPL_Fact!$D:$D,qPL_Fact!$C:$C,$B38,qPL_Fact!$A:$A,DATE(2025,4,1))+SUMIFS(qPL_Fact!$D:$D,qPL_Fact!$C:$C,$B38,qPL_Fact!$A:$A,DATE(2025,5,1))+SUMIFS(qPL_Fact!$D:$D,qPL_Fact!$C:$C,$B38,qPL_Fact!$A:$A,DATE(2025,6,1))+SUMIFS(qPL_Fact!$D:$D,qPL_Fact!$C:$C,$B38,qPL_Fact!$A:$A,DATE(2025,7,1))+SUMIFS(qPL_Fact!$D:$D,qPL_Fact!$C:$C,$B38,qPL_Fact!$A:$A,DATE(2025,8,1))+SUMIFS(qPL_Fact!$D:$D,qPL_Fact!$C:$C,$B38,qPL_Fact!$A:$A,DATE(2025,9,1))+SUMIFS(qPL_Fact!$D:$D,qPL_Fact!$C:$C,$B38,qPL_Fact!$A:$A,DATE(2025,10,1))+SUMIFS(qPL_Fact!$D:$D,qPL_Fact!$C:$C,$B38,qPL_Fact!$A:$A,DATE(2025,11,1))+SUMIFS(qPL_Fact!$D:$D,qPL_Fact!$C:$C,$B38,qPL_Fact!$A:$A,DATE(2025,12,1))</f>
        <v/>
      </c>
      <c r="J38" s="38">
        <f>SUMIFS(qPL_Fact!$D:$D,qPL_Fact!$C:$C,$B38,qPL_Fact!$A:$A,DATE(2024,8,1))+SUMIFS(qPL_Fact!$D:$D,qPL_Fact!$C:$C,$B38,qPL_Fact!$A:$A,DATE(2024,9,1))+SUMIFS(qPL_Fact!$D:$D,qPL_Fact!$C:$C,$B38,qPL_Fact!$A:$A,DATE(2024,10,1))+SUMIFS(qPL_Fact!$D:$D,qPL_Fact!$C:$C,$B38,qPL_Fact!$A:$A,DATE(2024,11,1))+SUMIFS(qPL_Fact!$D:$D,qPL_Fact!$C:$C,$B38,qPL_Fact!$A:$A,DATE(2024,12,1))+SUMIFS(qPL_Fact!$D:$D,qPL_Fact!$C:$C,$B38,qPL_Fact!$A:$A,DATE(2025,1,1))+SUMIFS(qPL_Fact!$D:$D,qPL_Fact!$C:$C,$B38,qPL_Fact!$A:$A,DATE(2025,2,1))+SUMIFS(qPL_Fact!$D:$D,qPL_Fact!$C:$C,$B38,qPL_Fact!$A:$A,DATE(2025,3,1))+SUMIFS(qPL_Fact!$D:$D,qPL_Fact!$C:$C,$B38,qPL_Fact!$A:$A,DATE(2025,4,1))+SUMIFS(qPL_Fact!$D:$D,qPL_Fact!$C:$C,$B38,qPL_Fact!$A:$A,DATE(2025,5,1))+SUMIFS(qPL_Fact!$D:$D,qPL_Fact!$C:$C,$B38,qPL_Fact!$A:$A,DATE(2025,6,1))+SUMIFS(qPL_Fact!$D:$D,qPL_Fact!$C:$C,$B38,qPL_Fact!$A:$A,DATE(2025,7,1))</f>
        <v/>
      </c>
      <c r="K38" s="38">
        <f>I38-J38</f>
        <v/>
      </c>
    </row>
    <row r="39">
      <c r="A39" s="8" t="inlineStr">
        <is>
          <t>6074</t>
        </is>
      </c>
      <c r="B39" s="10" t="inlineStr">
        <is>
          <t>Landscaping</t>
        </is>
      </c>
      <c r="C39" s="37">
        <f>SUMIFS(qPL_Fact!$D:$D,qPL_Fact!$C:$C,$B39,qPL_Fact!$A:$A,DATE(2025,12,1))</f>
        <v/>
      </c>
      <c r="D39" s="37">
        <f>SUMIFS(qPL_Fact!$D:$D,qPL_Fact!$C:$C,$B39,qPL_Fact!$A:$A,DATE(2025,11,1))</f>
        <v/>
      </c>
      <c r="E39" s="37">
        <f>C39-D39</f>
        <v/>
      </c>
      <c r="F39" s="37">
        <f>SUMIFS(qPL_Fact!$D:$D,qPL_Fact!$C:$C,$B39,qPL_Fact!$A:$A,DATE(2025,10,1))+SUMIFS(qPL_Fact!$D:$D,qPL_Fact!$C:$C,$B39,qPL_Fact!$A:$A,DATE(2025,11,1))+SUMIFS(qPL_Fact!$D:$D,qPL_Fact!$C:$C,$B39,qPL_Fact!$A:$A,DATE(2025,12,1))</f>
        <v/>
      </c>
      <c r="G39" s="37">
        <f>SUMIFS(qPL_Fact!$D:$D,qPL_Fact!$C:$C,$B39,qPL_Fact!$A:$A,DATE(2025,7,1))+SUMIFS(qPL_Fact!$D:$D,qPL_Fact!$C:$C,$B39,qPL_Fact!$A:$A,DATE(2025,8,1))+SUMIFS(qPL_Fact!$D:$D,qPL_Fact!$C:$C,$B39,qPL_Fact!$A:$A,DATE(2025,9,1))</f>
        <v/>
      </c>
      <c r="H39" s="37">
        <f>F39-G39</f>
        <v/>
      </c>
      <c r="I39" s="37">
        <f>SUMIFS(qPL_Fact!$D:$D,qPL_Fact!$C:$C,$B39,qPL_Fact!$A:$A,DATE(2025,1,1))+SUMIFS(qPL_Fact!$D:$D,qPL_Fact!$C:$C,$B39,qPL_Fact!$A:$A,DATE(2025,2,1))+SUMIFS(qPL_Fact!$D:$D,qPL_Fact!$C:$C,$B39,qPL_Fact!$A:$A,DATE(2025,3,1))+SUMIFS(qPL_Fact!$D:$D,qPL_Fact!$C:$C,$B39,qPL_Fact!$A:$A,DATE(2025,4,1))+SUMIFS(qPL_Fact!$D:$D,qPL_Fact!$C:$C,$B39,qPL_Fact!$A:$A,DATE(2025,5,1))+SUMIFS(qPL_Fact!$D:$D,qPL_Fact!$C:$C,$B39,qPL_Fact!$A:$A,DATE(2025,6,1))+SUMIFS(qPL_Fact!$D:$D,qPL_Fact!$C:$C,$B39,qPL_Fact!$A:$A,DATE(2025,7,1))+SUMIFS(qPL_Fact!$D:$D,qPL_Fact!$C:$C,$B39,qPL_Fact!$A:$A,DATE(2025,8,1))+SUMIFS(qPL_Fact!$D:$D,qPL_Fact!$C:$C,$B39,qPL_Fact!$A:$A,DATE(2025,9,1))+SUMIFS(qPL_Fact!$D:$D,qPL_Fact!$C:$C,$B39,qPL_Fact!$A:$A,DATE(2025,10,1))+SUMIFS(qPL_Fact!$D:$D,qPL_Fact!$C:$C,$B39,qPL_Fact!$A:$A,DATE(2025,11,1))+SUMIFS(qPL_Fact!$D:$D,qPL_Fact!$C:$C,$B39,qPL_Fact!$A:$A,DATE(2025,12,1))</f>
        <v/>
      </c>
      <c r="J39" s="37">
        <f>SUMIFS(qPL_Fact!$D:$D,qPL_Fact!$C:$C,$B39,qPL_Fact!$A:$A,DATE(2024,8,1))+SUMIFS(qPL_Fact!$D:$D,qPL_Fact!$C:$C,$B39,qPL_Fact!$A:$A,DATE(2024,9,1))+SUMIFS(qPL_Fact!$D:$D,qPL_Fact!$C:$C,$B39,qPL_Fact!$A:$A,DATE(2024,10,1))+SUMIFS(qPL_Fact!$D:$D,qPL_Fact!$C:$C,$B39,qPL_Fact!$A:$A,DATE(2024,11,1))+SUMIFS(qPL_Fact!$D:$D,qPL_Fact!$C:$C,$B39,qPL_Fact!$A:$A,DATE(2024,12,1))+SUMIFS(qPL_Fact!$D:$D,qPL_Fact!$C:$C,$B39,qPL_Fact!$A:$A,DATE(2025,1,1))+SUMIFS(qPL_Fact!$D:$D,qPL_Fact!$C:$C,$B39,qPL_Fact!$A:$A,DATE(2025,2,1))+SUMIFS(qPL_Fact!$D:$D,qPL_Fact!$C:$C,$B39,qPL_Fact!$A:$A,DATE(2025,3,1))+SUMIFS(qPL_Fact!$D:$D,qPL_Fact!$C:$C,$B39,qPL_Fact!$A:$A,DATE(2025,4,1))+SUMIFS(qPL_Fact!$D:$D,qPL_Fact!$C:$C,$B39,qPL_Fact!$A:$A,DATE(2025,5,1))+SUMIFS(qPL_Fact!$D:$D,qPL_Fact!$C:$C,$B39,qPL_Fact!$A:$A,DATE(2025,6,1))+SUMIFS(qPL_Fact!$D:$D,qPL_Fact!$C:$C,$B39,qPL_Fact!$A:$A,DATE(2025,7,1))</f>
        <v/>
      </c>
      <c r="K39" s="37">
        <f>I39-J39</f>
        <v/>
      </c>
    </row>
    <row r="40">
      <c r="A40" s="11" t="inlineStr">
        <is>
          <t>6076</t>
        </is>
      </c>
      <c r="B40" s="12" t="inlineStr">
        <is>
          <t>Cleaning &amp; Maint</t>
        </is>
      </c>
      <c r="C40" s="38">
        <f>SUMIFS(qPL_Fact!$D:$D,qPL_Fact!$C:$C,$B40,qPL_Fact!$A:$A,DATE(2025,12,1))</f>
        <v/>
      </c>
      <c r="D40" s="38">
        <f>SUMIFS(qPL_Fact!$D:$D,qPL_Fact!$C:$C,$B40,qPL_Fact!$A:$A,DATE(2025,11,1))</f>
        <v/>
      </c>
      <c r="E40" s="38">
        <f>C40-D40</f>
        <v/>
      </c>
      <c r="F40" s="38">
        <f>SUMIFS(qPL_Fact!$D:$D,qPL_Fact!$C:$C,$B40,qPL_Fact!$A:$A,DATE(2025,10,1))+SUMIFS(qPL_Fact!$D:$D,qPL_Fact!$C:$C,$B40,qPL_Fact!$A:$A,DATE(2025,11,1))+SUMIFS(qPL_Fact!$D:$D,qPL_Fact!$C:$C,$B40,qPL_Fact!$A:$A,DATE(2025,12,1))</f>
        <v/>
      </c>
      <c r="G40" s="38">
        <f>SUMIFS(qPL_Fact!$D:$D,qPL_Fact!$C:$C,$B40,qPL_Fact!$A:$A,DATE(2025,7,1))+SUMIFS(qPL_Fact!$D:$D,qPL_Fact!$C:$C,$B40,qPL_Fact!$A:$A,DATE(2025,8,1))+SUMIFS(qPL_Fact!$D:$D,qPL_Fact!$C:$C,$B40,qPL_Fact!$A:$A,DATE(2025,9,1))</f>
        <v/>
      </c>
      <c r="H40" s="38">
        <f>F40-G40</f>
        <v/>
      </c>
      <c r="I40" s="38">
        <f>SUMIFS(qPL_Fact!$D:$D,qPL_Fact!$C:$C,$B40,qPL_Fact!$A:$A,DATE(2025,1,1))+SUMIFS(qPL_Fact!$D:$D,qPL_Fact!$C:$C,$B40,qPL_Fact!$A:$A,DATE(2025,2,1))+SUMIFS(qPL_Fact!$D:$D,qPL_Fact!$C:$C,$B40,qPL_Fact!$A:$A,DATE(2025,3,1))+SUMIFS(qPL_Fact!$D:$D,qPL_Fact!$C:$C,$B40,qPL_Fact!$A:$A,DATE(2025,4,1))+SUMIFS(qPL_Fact!$D:$D,qPL_Fact!$C:$C,$B40,qPL_Fact!$A:$A,DATE(2025,5,1))+SUMIFS(qPL_Fact!$D:$D,qPL_Fact!$C:$C,$B40,qPL_Fact!$A:$A,DATE(2025,6,1))+SUMIFS(qPL_Fact!$D:$D,qPL_Fact!$C:$C,$B40,qPL_Fact!$A:$A,DATE(2025,7,1))+SUMIFS(qPL_Fact!$D:$D,qPL_Fact!$C:$C,$B40,qPL_Fact!$A:$A,DATE(2025,8,1))+SUMIFS(qPL_Fact!$D:$D,qPL_Fact!$C:$C,$B40,qPL_Fact!$A:$A,DATE(2025,9,1))+SUMIFS(qPL_Fact!$D:$D,qPL_Fact!$C:$C,$B40,qPL_Fact!$A:$A,DATE(2025,10,1))+SUMIFS(qPL_Fact!$D:$D,qPL_Fact!$C:$C,$B40,qPL_Fact!$A:$A,DATE(2025,11,1))+SUMIFS(qPL_Fact!$D:$D,qPL_Fact!$C:$C,$B40,qPL_Fact!$A:$A,DATE(2025,12,1))</f>
        <v/>
      </c>
      <c r="J40" s="38">
        <f>SUMIFS(qPL_Fact!$D:$D,qPL_Fact!$C:$C,$B40,qPL_Fact!$A:$A,DATE(2024,8,1))+SUMIFS(qPL_Fact!$D:$D,qPL_Fact!$C:$C,$B40,qPL_Fact!$A:$A,DATE(2024,9,1))+SUMIFS(qPL_Fact!$D:$D,qPL_Fact!$C:$C,$B40,qPL_Fact!$A:$A,DATE(2024,10,1))+SUMIFS(qPL_Fact!$D:$D,qPL_Fact!$C:$C,$B40,qPL_Fact!$A:$A,DATE(2024,11,1))+SUMIFS(qPL_Fact!$D:$D,qPL_Fact!$C:$C,$B40,qPL_Fact!$A:$A,DATE(2024,12,1))+SUMIFS(qPL_Fact!$D:$D,qPL_Fact!$C:$C,$B40,qPL_Fact!$A:$A,DATE(2025,1,1))+SUMIFS(qPL_Fact!$D:$D,qPL_Fact!$C:$C,$B40,qPL_Fact!$A:$A,DATE(2025,2,1))+SUMIFS(qPL_Fact!$D:$D,qPL_Fact!$C:$C,$B40,qPL_Fact!$A:$A,DATE(2025,3,1))+SUMIFS(qPL_Fact!$D:$D,qPL_Fact!$C:$C,$B40,qPL_Fact!$A:$A,DATE(2025,4,1))+SUMIFS(qPL_Fact!$D:$D,qPL_Fact!$C:$C,$B40,qPL_Fact!$A:$A,DATE(2025,5,1))+SUMIFS(qPL_Fact!$D:$D,qPL_Fact!$C:$C,$B40,qPL_Fact!$A:$A,DATE(2025,6,1))+SUMIFS(qPL_Fact!$D:$D,qPL_Fact!$C:$C,$B40,qPL_Fact!$A:$A,DATE(2025,7,1))</f>
        <v/>
      </c>
      <c r="K40" s="38">
        <f>I40-J40</f>
        <v/>
      </c>
    </row>
    <row r="41">
      <c r="A41" s="8" t="inlineStr">
        <is>
          <t>6077</t>
        </is>
      </c>
      <c r="B41" s="10" t="inlineStr">
        <is>
          <t>Common Area Cleaning</t>
        </is>
      </c>
      <c r="C41" s="37">
        <f>SUMIFS(qPL_Fact!$D:$D,qPL_Fact!$C:$C,$B41,qPL_Fact!$A:$A,DATE(2025,12,1))</f>
        <v/>
      </c>
      <c r="D41" s="37">
        <f>SUMIFS(qPL_Fact!$D:$D,qPL_Fact!$C:$C,$B41,qPL_Fact!$A:$A,DATE(2025,11,1))</f>
        <v/>
      </c>
      <c r="E41" s="37">
        <f>C41-D41</f>
        <v/>
      </c>
      <c r="F41" s="37">
        <f>SUMIFS(qPL_Fact!$D:$D,qPL_Fact!$C:$C,$B41,qPL_Fact!$A:$A,DATE(2025,10,1))+SUMIFS(qPL_Fact!$D:$D,qPL_Fact!$C:$C,$B41,qPL_Fact!$A:$A,DATE(2025,11,1))+SUMIFS(qPL_Fact!$D:$D,qPL_Fact!$C:$C,$B41,qPL_Fact!$A:$A,DATE(2025,12,1))</f>
        <v/>
      </c>
      <c r="G41" s="37">
        <f>SUMIFS(qPL_Fact!$D:$D,qPL_Fact!$C:$C,$B41,qPL_Fact!$A:$A,DATE(2025,7,1))+SUMIFS(qPL_Fact!$D:$D,qPL_Fact!$C:$C,$B41,qPL_Fact!$A:$A,DATE(2025,8,1))+SUMIFS(qPL_Fact!$D:$D,qPL_Fact!$C:$C,$B41,qPL_Fact!$A:$A,DATE(2025,9,1))</f>
        <v/>
      </c>
      <c r="H41" s="37">
        <f>F41-G41</f>
        <v/>
      </c>
      <c r="I41" s="37">
        <f>SUMIFS(qPL_Fact!$D:$D,qPL_Fact!$C:$C,$B41,qPL_Fact!$A:$A,DATE(2025,1,1))+SUMIFS(qPL_Fact!$D:$D,qPL_Fact!$C:$C,$B41,qPL_Fact!$A:$A,DATE(2025,2,1))+SUMIFS(qPL_Fact!$D:$D,qPL_Fact!$C:$C,$B41,qPL_Fact!$A:$A,DATE(2025,3,1))+SUMIFS(qPL_Fact!$D:$D,qPL_Fact!$C:$C,$B41,qPL_Fact!$A:$A,DATE(2025,4,1))+SUMIFS(qPL_Fact!$D:$D,qPL_Fact!$C:$C,$B41,qPL_Fact!$A:$A,DATE(2025,5,1))+SUMIFS(qPL_Fact!$D:$D,qPL_Fact!$C:$C,$B41,qPL_Fact!$A:$A,DATE(2025,6,1))+SUMIFS(qPL_Fact!$D:$D,qPL_Fact!$C:$C,$B41,qPL_Fact!$A:$A,DATE(2025,7,1))+SUMIFS(qPL_Fact!$D:$D,qPL_Fact!$C:$C,$B41,qPL_Fact!$A:$A,DATE(2025,8,1))+SUMIFS(qPL_Fact!$D:$D,qPL_Fact!$C:$C,$B41,qPL_Fact!$A:$A,DATE(2025,9,1))+SUMIFS(qPL_Fact!$D:$D,qPL_Fact!$C:$C,$B41,qPL_Fact!$A:$A,DATE(2025,10,1))+SUMIFS(qPL_Fact!$D:$D,qPL_Fact!$C:$C,$B41,qPL_Fact!$A:$A,DATE(2025,11,1))+SUMIFS(qPL_Fact!$D:$D,qPL_Fact!$C:$C,$B41,qPL_Fact!$A:$A,DATE(2025,12,1))</f>
        <v/>
      </c>
      <c r="J41" s="37">
        <f>SUMIFS(qPL_Fact!$D:$D,qPL_Fact!$C:$C,$B41,qPL_Fact!$A:$A,DATE(2024,8,1))+SUMIFS(qPL_Fact!$D:$D,qPL_Fact!$C:$C,$B41,qPL_Fact!$A:$A,DATE(2024,9,1))+SUMIFS(qPL_Fact!$D:$D,qPL_Fact!$C:$C,$B41,qPL_Fact!$A:$A,DATE(2024,10,1))+SUMIFS(qPL_Fact!$D:$D,qPL_Fact!$C:$C,$B41,qPL_Fact!$A:$A,DATE(2024,11,1))+SUMIFS(qPL_Fact!$D:$D,qPL_Fact!$C:$C,$B41,qPL_Fact!$A:$A,DATE(2024,12,1))+SUMIFS(qPL_Fact!$D:$D,qPL_Fact!$C:$C,$B41,qPL_Fact!$A:$A,DATE(2025,1,1))+SUMIFS(qPL_Fact!$D:$D,qPL_Fact!$C:$C,$B41,qPL_Fact!$A:$A,DATE(2025,2,1))+SUMIFS(qPL_Fact!$D:$D,qPL_Fact!$C:$C,$B41,qPL_Fact!$A:$A,DATE(2025,3,1))+SUMIFS(qPL_Fact!$D:$D,qPL_Fact!$C:$C,$B41,qPL_Fact!$A:$A,DATE(2025,4,1))+SUMIFS(qPL_Fact!$D:$D,qPL_Fact!$C:$C,$B41,qPL_Fact!$A:$A,DATE(2025,5,1))+SUMIFS(qPL_Fact!$D:$D,qPL_Fact!$C:$C,$B41,qPL_Fact!$A:$A,DATE(2025,6,1))+SUMIFS(qPL_Fact!$D:$D,qPL_Fact!$C:$C,$B41,qPL_Fact!$A:$A,DATE(2025,7,1))</f>
        <v/>
      </c>
      <c r="K41" s="37">
        <f>I41-J41</f>
        <v/>
      </c>
    </row>
    <row r="42">
      <c r="A42" s="11" t="inlineStr">
        <is>
          <t>6078</t>
        </is>
      </c>
      <c r="B42" s="12" t="inlineStr">
        <is>
          <t>Pest Control</t>
        </is>
      </c>
      <c r="C42" s="38">
        <f>SUMIFS(qPL_Fact!$D:$D,qPL_Fact!$C:$C,$B42,qPL_Fact!$A:$A,DATE(2025,12,1))</f>
        <v/>
      </c>
      <c r="D42" s="38">
        <f>SUMIFS(qPL_Fact!$D:$D,qPL_Fact!$C:$C,$B42,qPL_Fact!$A:$A,DATE(2025,11,1))</f>
        <v/>
      </c>
      <c r="E42" s="38">
        <f>C42-D42</f>
        <v/>
      </c>
      <c r="F42" s="38">
        <f>SUMIFS(qPL_Fact!$D:$D,qPL_Fact!$C:$C,$B42,qPL_Fact!$A:$A,DATE(2025,10,1))+SUMIFS(qPL_Fact!$D:$D,qPL_Fact!$C:$C,$B42,qPL_Fact!$A:$A,DATE(2025,11,1))+SUMIFS(qPL_Fact!$D:$D,qPL_Fact!$C:$C,$B42,qPL_Fact!$A:$A,DATE(2025,12,1))</f>
        <v/>
      </c>
      <c r="G42" s="38">
        <f>SUMIFS(qPL_Fact!$D:$D,qPL_Fact!$C:$C,$B42,qPL_Fact!$A:$A,DATE(2025,7,1))+SUMIFS(qPL_Fact!$D:$D,qPL_Fact!$C:$C,$B42,qPL_Fact!$A:$A,DATE(2025,8,1))+SUMIFS(qPL_Fact!$D:$D,qPL_Fact!$C:$C,$B42,qPL_Fact!$A:$A,DATE(2025,9,1))</f>
        <v/>
      </c>
      <c r="H42" s="38">
        <f>F42-G42</f>
        <v/>
      </c>
      <c r="I42" s="38">
        <f>SUMIFS(qPL_Fact!$D:$D,qPL_Fact!$C:$C,$B42,qPL_Fact!$A:$A,DATE(2025,1,1))+SUMIFS(qPL_Fact!$D:$D,qPL_Fact!$C:$C,$B42,qPL_Fact!$A:$A,DATE(2025,2,1))+SUMIFS(qPL_Fact!$D:$D,qPL_Fact!$C:$C,$B42,qPL_Fact!$A:$A,DATE(2025,3,1))+SUMIFS(qPL_Fact!$D:$D,qPL_Fact!$C:$C,$B42,qPL_Fact!$A:$A,DATE(2025,4,1))+SUMIFS(qPL_Fact!$D:$D,qPL_Fact!$C:$C,$B42,qPL_Fact!$A:$A,DATE(2025,5,1))+SUMIFS(qPL_Fact!$D:$D,qPL_Fact!$C:$C,$B42,qPL_Fact!$A:$A,DATE(2025,6,1))+SUMIFS(qPL_Fact!$D:$D,qPL_Fact!$C:$C,$B42,qPL_Fact!$A:$A,DATE(2025,7,1))+SUMIFS(qPL_Fact!$D:$D,qPL_Fact!$C:$C,$B42,qPL_Fact!$A:$A,DATE(2025,8,1))+SUMIFS(qPL_Fact!$D:$D,qPL_Fact!$C:$C,$B42,qPL_Fact!$A:$A,DATE(2025,9,1))+SUMIFS(qPL_Fact!$D:$D,qPL_Fact!$C:$C,$B42,qPL_Fact!$A:$A,DATE(2025,10,1))+SUMIFS(qPL_Fact!$D:$D,qPL_Fact!$C:$C,$B42,qPL_Fact!$A:$A,DATE(2025,11,1))+SUMIFS(qPL_Fact!$D:$D,qPL_Fact!$C:$C,$B42,qPL_Fact!$A:$A,DATE(2025,12,1))</f>
        <v/>
      </c>
      <c r="J42" s="38">
        <f>SUMIFS(qPL_Fact!$D:$D,qPL_Fact!$C:$C,$B42,qPL_Fact!$A:$A,DATE(2024,8,1))+SUMIFS(qPL_Fact!$D:$D,qPL_Fact!$C:$C,$B42,qPL_Fact!$A:$A,DATE(2024,9,1))+SUMIFS(qPL_Fact!$D:$D,qPL_Fact!$C:$C,$B42,qPL_Fact!$A:$A,DATE(2024,10,1))+SUMIFS(qPL_Fact!$D:$D,qPL_Fact!$C:$C,$B42,qPL_Fact!$A:$A,DATE(2024,11,1))+SUMIFS(qPL_Fact!$D:$D,qPL_Fact!$C:$C,$B42,qPL_Fact!$A:$A,DATE(2024,12,1))+SUMIFS(qPL_Fact!$D:$D,qPL_Fact!$C:$C,$B42,qPL_Fact!$A:$A,DATE(2025,1,1))+SUMIFS(qPL_Fact!$D:$D,qPL_Fact!$C:$C,$B42,qPL_Fact!$A:$A,DATE(2025,2,1))+SUMIFS(qPL_Fact!$D:$D,qPL_Fact!$C:$C,$B42,qPL_Fact!$A:$A,DATE(2025,3,1))+SUMIFS(qPL_Fact!$D:$D,qPL_Fact!$C:$C,$B42,qPL_Fact!$A:$A,DATE(2025,4,1))+SUMIFS(qPL_Fact!$D:$D,qPL_Fact!$C:$C,$B42,qPL_Fact!$A:$A,DATE(2025,5,1))+SUMIFS(qPL_Fact!$D:$D,qPL_Fact!$C:$C,$B42,qPL_Fact!$A:$A,DATE(2025,6,1))+SUMIFS(qPL_Fact!$D:$D,qPL_Fact!$C:$C,$B42,qPL_Fact!$A:$A,DATE(2025,7,1))</f>
        <v/>
      </c>
      <c r="K42" s="38">
        <f>I42-J42</f>
        <v/>
      </c>
    </row>
    <row r="43">
      <c r="A43" s="8" t="inlineStr">
        <is>
          <t>6071</t>
        </is>
      </c>
      <c r="B43" s="10" t="inlineStr">
        <is>
          <t>Carpet Cleaning</t>
        </is>
      </c>
      <c r="C43" s="37">
        <f>SUMIFS(qPL_Fact!$D:$D,qPL_Fact!$C:$C,$B43,qPL_Fact!$A:$A,DATE(2025,12,1))</f>
        <v/>
      </c>
      <c r="D43" s="37">
        <f>SUMIFS(qPL_Fact!$D:$D,qPL_Fact!$C:$C,$B43,qPL_Fact!$A:$A,DATE(2025,11,1))</f>
        <v/>
      </c>
      <c r="E43" s="37">
        <f>C43-D43</f>
        <v/>
      </c>
      <c r="F43" s="37">
        <f>SUMIFS(qPL_Fact!$D:$D,qPL_Fact!$C:$C,$B43,qPL_Fact!$A:$A,DATE(2025,10,1))+SUMIFS(qPL_Fact!$D:$D,qPL_Fact!$C:$C,$B43,qPL_Fact!$A:$A,DATE(2025,11,1))+SUMIFS(qPL_Fact!$D:$D,qPL_Fact!$C:$C,$B43,qPL_Fact!$A:$A,DATE(2025,12,1))</f>
        <v/>
      </c>
      <c r="G43" s="37">
        <f>SUMIFS(qPL_Fact!$D:$D,qPL_Fact!$C:$C,$B43,qPL_Fact!$A:$A,DATE(2025,7,1))+SUMIFS(qPL_Fact!$D:$D,qPL_Fact!$C:$C,$B43,qPL_Fact!$A:$A,DATE(2025,8,1))+SUMIFS(qPL_Fact!$D:$D,qPL_Fact!$C:$C,$B43,qPL_Fact!$A:$A,DATE(2025,9,1))</f>
        <v/>
      </c>
      <c r="H43" s="37">
        <f>F43-G43</f>
        <v/>
      </c>
      <c r="I43" s="37">
        <f>SUMIFS(qPL_Fact!$D:$D,qPL_Fact!$C:$C,$B43,qPL_Fact!$A:$A,DATE(2025,1,1))+SUMIFS(qPL_Fact!$D:$D,qPL_Fact!$C:$C,$B43,qPL_Fact!$A:$A,DATE(2025,2,1))+SUMIFS(qPL_Fact!$D:$D,qPL_Fact!$C:$C,$B43,qPL_Fact!$A:$A,DATE(2025,3,1))+SUMIFS(qPL_Fact!$D:$D,qPL_Fact!$C:$C,$B43,qPL_Fact!$A:$A,DATE(2025,4,1))+SUMIFS(qPL_Fact!$D:$D,qPL_Fact!$C:$C,$B43,qPL_Fact!$A:$A,DATE(2025,5,1))+SUMIFS(qPL_Fact!$D:$D,qPL_Fact!$C:$C,$B43,qPL_Fact!$A:$A,DATE(2025,6,1))+SUMIFS(qPL_Fact!$D:$D,qPL_Fact!$C:$C,$B43,qPL_Fact!$A:$A,DATE(2025,7,1))+SUMIFS(qPL_Fact!$D:$D,qPL_Fact!$C:$C,$B43,qPL_Fact!$A:$A,DATE(2025,8,1))+SUMIFS(qPL_Fact!$D:$D,qPL_Fact!$C:$C,$B43,qPL_Fact!$A:$A,DATE(2025,9,1))+SUMIFS(qPL_Fact!$D:$D,qPL_Fact!$C:$C,$B43,qPL_Fact!$A:$A,DATE(2025,10,1))+SUMIFS(qPL_Fact!$D:$D,qPL_Fact!$C:$C,$B43,qPL_Fact!$A:$A,DATE(2025,11,1))+SUMIFS(qPL_Fact!$D:$D,qPL_Fact!$C:$C,$B43,qPL_Fact!$A:$A,DATE(2025,12,1))</f>
        <v/>
      </c>
      <c r="J43" s="37">
        <f>SUMIFS(qPL_Fact!$D:$D,qPL_Fact!$C:$C,$B43,qPL_Fact!$A:$A,DATE(2024,8,1))+SUMIFS(qPL_Fact!$D:$D,qPL_Fact!$C:$C,$B43,qPL_Fact!$A:$A,DATE(2024,9,1))+SUMIFS(qPL_Fact!$D:$D,qPL_Fact!$C:$C,$B43,qPL_Fact!$A:$A,DATE(2024,10,1))+SUMIFS(qPL_Fact!$D:$D,qPL_Fact!$C:$C,$B43,qPL_Fact!$A:$A,DATE(2024,11,1))+SUMIFS(qPL_Fact!$D:$D,qPL_Fact!$C:$C,$B43,qPL_Fact!$A:$A,DATE(2024,12,1))+SUMIFS(qPL_Fact!$D:$D,qPL_Fact!$C:$C,$B43,qPL_Fact!$A:$A,DATE(2025,1,1))+SUMIFS(qPL_Fact!$D:$D,qPL_Fact!$C:$C,$B43,qPL_Fact!$A:$A,DATE(2025,2,1))+SUMIFS(qPL_Fact!$D:$D,qPL_Fact!$C:$C,$B43,qPL_Fact!$A:$A,DATE(2025,3,1))+SUMIFS(qPL_Fact!$D:$D,qPL_Fact!$C:$C,$B43,qPL_Fact!$A:$A,DATE(2025,4,1))+SUMIFS(qPL_Fact!$D:$D,qPL_Fact!$C:$C,$B43,qPL_Fact!$A:$A,DATE(2025,5,1))+SUMIFS(qPL_Fact!$D:$D,qPL_Fact!$C:$C,$B43,qPL_Fact!$A:$A,DATE(2025,6,1))+SUMIFS(qPL_Fact!$D:$D,qPL_Fact!$C:$C,$B43,qPL_Fact!$A:$A,DATE(2025,7,1))</f>
        <v/>
      </c>
      <c r="K43" s="37">
        <f>I43-J43</f>
        <v/>
      </c>
    </row>
    <row r="44">
      <c r="A44" s="11" t="inlineStr">
        <is>
          <t>6072</t>
        </is>
      </c>
      <c r="B44" s="12" t="inlineStr">
        <is>
          <t>Janitorial</t>
        </is>
      </c>
      <c r="C44" s="38">
        <f>SUMIFS(qPL_Fact!$D:$D,qPL_Fact!$C:$C,$B44,qPL_Fact!$A:$A,DATE(2025,12,1))</f>
        <v/>
      </c>
      <c r="D44" s="38">
        <f>SUMIFS(qPL_Fact!$D:$D,qPL_Fact!$C:$C,$B44,qPL_Fact!$A:$A,DATE(2025,11,1))</f>
        <v/>
      </c>
      <c r="E44" s="38">
        <f>C44-D44</f>
        <v/>
      </c>
      <c r="F44" s="38">
        <f>SUMIFS(qPL_Fact!$D:$D,qPL_Fact!$C:$C,$B44,qPL_Fact!$A:$A,DATE(2025,10,1))+SUMIFS(qPL_Fact!$D:$D,qPL_Fact!$C:$C,$B44,qPL_Fact!$A:$A,DATE(2025,11,1))+SUMIFS(qPL_Fact!$D:$D,qPL_Fact!$C:$C,$B44,qPL_Fact!$A:$A,DATE(2025,12,1))</f>
        <v/>
      </c>
      <c r="G44" s="38">
        <f>SUMIFS(qPL_Fact!$D:$D,qPL_Fact!$C:$C,$B44,qPL_Fact!$A:$A,DATE(2025,7,1))+SUMIFS(qPL_Fact!$D:$D,qPL_Fact!$C:$C,$B44,qPL_Fact!$A:$A,DATE(2025,8,1))+SUMIFS(qPL_Fact!$D:$D,qPL_Fact!$C:$C,$B44,qPL_Fact!$A:$A,DATE(2025,9,1))</f>
        <v/>
      </c>
      <c r="H44" s="38">
        <f>F44-G44</f>
        <v/>
      </c>
      <c r="I44" s="38">
        <f>SUMIFS(qPL_Fact!$D:$D,qPL_Fact!$C:$C,$B44,qPL_Fact!$A:$A,DATE(2025,1,1))+SUMIFS(qPL_Fact!$D:$D,qPL_Fact!$C:$C,$B44,qPL_Fact!$A:$A,DATE(2025,2,1))+SUMIFS(qPL_Fact!$D:$D,qPL_Fact!$C:$C,$B44,qPL_Fact!$A:$A,DATE(2025,3,1))+SUMIFS(qPL_Fact!$D:$D,qPL_Fact!$C:$C,$B44,qPL_Fact!$A:$A,DATE(2025,4,1))+SUMIFS(qPL_Fact!$D:$D,qPL_Fact!$C:$C,$B44,qPL_Fact!$A:$A,DATE(2025,5,1))+SUMIFS(qPL_Fact!$D:$D,qPL_Fact!$C:$C,$B44,qPL_Fact!$A:$A,DATE(2025,6,1))+SUMIFS(qPL_Fact!$D:$D,qPL_Fact!$C:$C,$B44,qPL_Fact!$A:$A,DATE(2025,7,1))+SUMIFS(qPL_Fact!$D:$D,qPL_Fact!$C:$C,$B44,qPL_Fact!$A:$A,DATE(2025,8,1))+SUMIFS(qPL_Fact!$D:$D,qPL_Fact!$C:$C,$B44,qPL_Fact!$A:$A,DATE(2025,9,1))+SUMIFS(qPL_Fact!$D:$D,qPL_Fact!$C:$C,$B44,qPL_Fact!$A:$A,DATE(2025,10,1))+SUMIFS(qPL_Fact!$D:$D,qPL_Fact!$C:$C,$B44,qPL_Fact!$A:$A,DATE(2025,11,1))+SUMIFS(qPL_Fact!$D:$D,qPL_Fact!$C:$C,$B44,qPL_Fact!$A:$A,DATE(2025,12,1))</f>
        <v/>
      </c>
      <c r="J44" s="38">
        <f>SUMIFS(qPL_Fact!$D:$D,qPL_Fact!$C:$C,$B44,qPL_Fact!$A:$A,DATE(2024,8,1))+SUMIFS(qPL_Fact!$D:$D,qPL_Fact!$C:$C,$B44,qPL_Fact!$A:$A,DATE(2024,9,1))+SUMIFS(qPL_Fact!$D:$D,qPL_Fact!$C:$C,$B44,qPL_Fact!$A:$A,DATE(2024,10,1))+SUMIFS(qPL_Fact!$D:$D,qPL_Fact!$C:$C,$B44,qPL_Fact!$A:$A,DATE(2024,11,1))+SUMIFS(qPL_Fact!$D:$D,qPL_Fact!$C:$C,$B44,qPL_Fact!$A:$A,DATE(2024,12,1))+SUMIFS(qPL_Fact!$D:$D,qPL_Fact!$C:$C,$B44,qPL_Fact!$A:$A,DATE(2025,1,1))+SUMIFS(qPL_Fact!$D:$D,qPL_Fact!$C:$C,$B44,qPL_Fact!$A:$A,DATE(2025,2,1))+SUMIFS(qPL_Fact!$D:$D,qPL_Fact!$C:$C,$B44,qPL_Fact!$A:$A,DATE(2025,3,1))+SUMIFS(qPL_Fact!$D:$D,qPL_Fact!$C:$C,$B44,qPL_Fact!$A:$A,DATE(2025,4,1))+SUMIFS(qPL_Fact!$D:$D,qPL_Fact!$C:$C,$B44,qPL_Fact!$A:$A,DATE(2025,5,1))+SUMIFS(qPL_Fact!$D:$D,qPL_Fact!$C:$C,$B44,qPL_Fact!$A:$A,DATE(2025,6,1))+SUMIFS(qPL_Fact!$D:$D,qPL_Fact!$C:$C,$B44,qPL_Fact!$A:$A,DATE(2025,7,1))</f>
        <v/>
      </c>
      <c r="K44" s="38">
        <f>I44-J44</f>
        <v/>
      </c>
    </row>
    <row r="45">
      <c r="A45" s="8" t="inlineStr">
        <is>
          <t>6141</t>
        </is>
      </c>
      <c r="B45" s="10" t="inlineStr">
        <is>
          <t>Painting</t>
        </is>
      </c>
      <c r="C45" s="37">
        <f>SUMIFS(qPL_Fact!$D:$D,qPL_Fact!$C:$C,$B45,qPL_Fact!$A:$A,DATE(2025,12,1))</f>
        <v/>
      </c>
      <c r="D45" s="37">
        <f>SUMIFS(qPL_Fact!$D:$D,qPL_Fact!$C:$C,$B45,qPL_Fact!$A:$A,DATE(2025,11,1))</f>
        <v/>
      </c>
      <c r="E45" s="37">
        <f>C45-D45</f>
        <v/>
      </c>
      <c r="F45" s="37">
        <f>SUMIFS(qPL_Fact!$D:$D,qPL_Fact!$C:$C,$B45,qPL_Fact!$A:$A,DATE(2025,10,1))+SUMIFS(qPL_Fact!$D:$D,qPL_Fact!$C:$C,$B45,qPL_Fact!$A:$A,DATE(2025,11,1))+SUMIFS(qPL_Fact!$D:$D,qPL_Fact!$C:$C,$B45,qPL_Fact!$A:$A,DATE(2025,12,1))</f>
        <v/>
      </c>
      <c r="G45" s="37">
        <f>SUMIFS(qPL_Fact!$D:$D,qPL_Fact!$C:$C,$B45,qPL_Fact!$A:$A,DATE(2025,7,1))+SUMIFS(qPL_Fact!$D:$D,qPL_Fact!$C:$C,$B45,qPL_Fact!$A:$A,DATE(2025,8,1))+SUMIFS(qPL_Fact!$D:$D,qPL_Fact!$C:$C,$B45,qPL_Fact!$A:$A,DATE(2025,9,1))</f>
        <v/>
      </c>
      <c r="H45" s="37">
        <f>F45-G45</f>
        <v/>
      </c>
      <c r="I45" s="37">
        <f>SUMIFS(qPL_Fact!$D:$D,qPL_Fact!$C:$C,$B45,qPL_Fact!$A:$A,DATE(2025,1,1))+SUMIFS(qPL_Fact!$D:$D,qPL_Fact!$C:$C,$B45,qPL_Fact!$A:$A,DATE(2025,2,1))+SUMIFS(qPL_Fact!$D:$D,qPL_Fact!$C:$C,$B45,qPL_Fact!$A:$A,DATE(2025,3,1))+SUMIFS(qPL_Fact!$D:$D,qPL_Fact!$C:$C,$B45,qPL_Fact!$A:$A,DATE(2025,4,1))+SUMIFS(qPL_Fact!$D:$D,qPL_Fact!$C:$C,$B45,qPL_Fact!$A:$A,DATE(2025,5,1))+SUMIFS(qPL_Fact!$D:$D,qPL_Fact!$C:$C,$B45,qPL_Fact!$A:$A,DATE(2025,6,1))+SUMIFS(qPL_Fact!$D:$D,qPL_Fact!$C:$C,$B45,qPL_Fact!$A:$A,DATE(2025,7,1))+SUMIFS(qPL_Fact!$D:$D,qPL_Fact!$C:$C,$B45,qPL_Fact!$A:$A,DATE(2025,8,1))+SUMIFS(qPL_Fact!$D:$D,qPL_Fact!$C:$C,$B45,qPL_Fact!$A:$A,DATE(2025,9,1))+SUMIFS(qPL_Fact!$D:$D,qPL_Fact!$C:$C,$B45,qPL_Fact!$A:$A,DATE(2025,10,1))+SUMIFS(qPL_Fact!$D:$D,qPL_Fact!$C:$C,$B45,qPL_Fact!$A:$A,DATE(2025,11,1))+SUMIFS(qPL_Fact!$D:$D,qPL_Fact!$C:$C,$B45,qPL_Fact!$A:$A,DATE(2025,12,1))</f>
        <v/>
      </c>
      <c r="J45" s="37">
        <f>SUMIFS(qPL_Fact!$D:$D,qPL_Fact!$C:$C,$B45,qPL_Fact!$A:$A,DATE(2024,8,1))+SUMIFS(qPL_Fact!$D:$D,qPL_Fact!$C:$C,$B45,qPL_Fact!$A:$A,DATE(2024,9,1))+SUMIFS(qPL_Fact!$D:$D,qPL_Fact!$C:$C,$B45,qPL_Fact!$A:$A,DATE(2024,10,1))+SUMIFS(qPL_Fact!$D:$D,qPL_Fact!$C:$C,$B45,qPL_Fact!$A:$A,DATE(2024,11,1))+SUMIFS(qPL_Fact!$D:$D,qPL_Fact!$C:$C,$B45,qPL_Fact!$A:$A,DATE(2024,12,1))+SUMIFS(qPL_Fact!$D:$D,qPL_Fact!$C:$C,$B45,qPL_Fact!$A:$A,DATE(2025,1,1))+SUMIFS(qPL_Fact!$D:$D,qPL_Fact!$C:$C,$B45,qPL_Fact!$A:$A,DATE(2025,2,1))+SUMIFS(qPL_Fact!$D:$D,qPL_Fact!$C:$C,$B45,qPL_Fact!$A:$A,DATE(2025,3,1))+SUMIFS(qPL_Fact!$D:$D,qPL_Fact!$C:$C,$B45,qPL_Fact!$A:$A,DATE(2025,4,1))+SUMIFS(qPL_Fact!$D:$D,qPL_Fact!$C:$C,$B45,qPL_Fact!$A:$A,DATE(2025,5,1))+SUMIFS(qPL_Fact!$D:$D,qPL_Fact!$C:$C,$B45,qPL_Fact!$A:$A,DATE(2025,6,1))+SUMIFS(qPL_Fact!$D:$D,qPL_Fact!$C:$C,$B45,qPL_Fact!$A:$A,DATE(2025,7,1))</f>
        <v/>
      </c>
      <c r="K45" s="37">
        <f>I45-J45</f>
        <v/>
      </c>
    </row>
    <row r="46">
      <c r="A46" s="11" t="inlineStr">
        <is>
          <t>6142</t>
        </is>
      </c>
      <c r="B46" s="12" t="inlineStr">
        <is>
          <t>Plumbing</t>
        </is>
      </c>
      <c r="C46" s="38">
        <f>SUMIFS(qPL_Fact!$D:$D,qPL_Fact!$C:$C,$B46,qPL_Fact!$A:$A,DATE(2025,12,1))</f>
        <v/>
      </c>
      <c r="D46" s="38">
        <f>SUMIFS(qPL_Fact!$D:$D,qPL_Fact!$C:$C,$B46,qPL_Fact!$A:$A,DATE(2025,11,1))</f>
        <v/>
      </c>
      <c r="E46" s="38">
        <f>C46-D46</f>
        <v/>
      </c>
      <c r="F46" s="38">
        <f>SUMIFS(qPL_Fact!$D:$D,qPL_Fact!$C:$C,$B46,qPL_Fact!$A:$A,DATE(2025,10,1))+SUMIFS(qPL_Fact!$D:$D,qPL_Fact!$C:$C,$B46,qPL_Fact!$A:$A,DATE(2025,11,1))+SUMIFS(qPL_Fact!$D:$D,qPL_Fact!$C:$C,$B46,qPL_Fact!$A:$A,DATE(2025,12,1))</f>
        <v/>
      </c>
      <c r="G46" s="38">
        <f>SUMIFS(qPL_Fact!$D:$D,qPL_Fact!$C:$C,$B46,qPL_Fact!$A:$A,DATE(2025,7,1))+SUMIFS(qPL_Fact!$D:$D,qPL_Fact!$C:$C,$B46,qPL_Fact!$A:$A,DATE(2025,8,1))+SUMIFS(qPL_Fact!$D:$D,qPL_Fact!$C:$C,$B46,qPL_Fact!$A:$A,DATE(2025,9,1))</f>
        <v/>
      </c>
      <c r="H46" s="38">
        <f>F46-G46</f>
        <v/>
      </c>
      <c r="I46" s="38">
        <f>SUMIFS(qPL_Fact!$D:$D,qPL_Fact!$C:$C,$B46,qPL_Fact!$A:$A,DATE(2025,1,1))+SUMIFS(qPL_Fact!$D:$D,qPL_Fact!$C:$C,$B46,qPL_Fact!$A:$A,DATE(2025,2,1))+SUMIFS(qPL_Fact!$D:$D,qPL_Fact!$C:$C,$B46,qPL_Fact!$A:$A,DATE(2025,3,1))+SUMIFS(qPL_Fact!$D:$D,qPL_Fact!$C:$C,$B46,qPL_Fact!$A:$A,DATE(2025,4,1))+SUMIFS(qPL_Fact!$D:$D,qPL_Fact!$C:$C,$B46,qPL_Fact!$A:$A,DATE(2025,5,1))+SUMIFS(qPL_Fact!$D:$D,qPL_Fact!$C:$C,$B46,qPL_Fact!$A:$A,DATE(2025,6,1))+SUMIFS(qPL_Fact!$D:$D,qPL_Fact!$C:$C,$B46,qPL_Fact!$A:$A,DATE(2025,7,1))+SUMIFS(qPL_Fact!$D:$D,qPL_Fact!$C:$C,$B46,qPL_Fact!$A:$A,DATE(2025,8,1))+SUMIFS(qPL_Fact!$D:$D,qPL_Fact!$C:$C,$B46,qPL_Fact!$A:$A,DATE(2025,9,1))+SUMIFS(qPL_Fact!$D:$D,qPL_Fact!$C:$C,$B46,qPL_Fact!$A:$A,DATE(2025,10,1))+SUMIFS(qPL_Fact!$D:$D,qPL_Fact!$C:$C,$B46,qPL_Fact!$A:$A,DATE(2025,11,1))+SUMIFS(qPL_Fact!$D:$D,qPL_Fact!$C:$C,$B46,qPL_Fact!$A:$A,DATE(2025,12,1))</f>
        <v/>
      </c>
      <c r="J46" s="38">
        <f>SUMIFS(qPL_Fact!$D:$D,qPL_Fact!$C:$C,$B46,qPL_Fact!$A:$A,DATE(2024,8,1))+SUMIFS(qPL_Fact!$D:$D,qPL_Fact!$C:$C,$B46,qPL_Fact!$A:$A,DATE(2024,9,1))+SUMIFS(qPL_Fact!$D:$D,qPL_Fact!$C:$C,$B46,qPL_Fact!$A:$A,DATE(2024,10,1))+SUMIFS(qPL_Fact!$D:$D,qPL_Fact!$C:$C,$B46,qPL_Fact!$A:$A,DATE(2024,11,1))+SUMIFS(qPL_Fact!$D:$D,qPL_Fact!$C:$C,$B46,qPL_Fact!$A:$A,DATE(2024,12,1))+SUMIFS(qPL_Fact!$D:$D,qPL_Fact!$C:$C,$B46,qPL_Fact!$A:$A,DATE(2025,1,1))+SUMIFS(qPL_Fact!$D:$D,qPL_Fact!$C:$C,$B46,qPL_Fact!$A:$A,DATE(2025,2,1))+SUMIFS(qPL_Fact!$D:$D,qPL_Fact!$C:$C,$B46,qPL_Fact!$A:$A,DATE(2025,3,1))+SUMIFS(qPL_Fact!$D:$D,qPL_Fact!$C:$C,$B46,qPL_Fact!$A:$A,DATE(2025,4,1))+SUMIFS(qPL_Fact!$D:$D,qPL_Fact!$C:$C,$B46,qPL_Fact!$A:$A,DATE(2025,5,1))+SUMIFS(qPL_Fact!$D:$D,qPL_Fact!$C:$C,$B46,qPL_Fact!$A:$A,DATE(2025,6,1))+SUMIFS(qPL_Fact!$D:$D,qPL_Fact!$C:$C,$B46,qPL_Fact!$A:$A,DATE(2025,7,1))</f>
        <v/>
      </c>
      <c r="K46" s="38">
        <f>I46-J46</f>
        <v/>
      </c>
    </row>
    <row r="47">
      <c r="A47" s="8" t="inlineStr">
        <is>
          <t>6143</t>
        </is>
      </c>
      <c r="B47" s="10" t="inlineStr">
        <is>
          <t>Flooring</t>
        </is>
      </c>
      <c r="C47" s="37">
        <f>SUMIFS(qPL_Fact!$D:$D,qPL_Fact!$C:$C,$B47,qPL_Fact!$A:$A,DATE(2025,12,1))</f>
        <v/>
      </c>
      <c r="D47" s="37">
        <f>SUMIFS(qPL_Fact!$D:$D,qPL_Fact!$C:$C,$B47,qPL_Fact!$A:$A,DATE(2025,11,1))</f>
        <v/>
      </c>
      <c r="E47" s="37">
        <f>C47-D47</f>
        <v/>
      </c>
      <c r="F47" s="37">
        <f>SUMIFS(qPL_Fact!$D:$D,qPL_Fact!$C:$C,$B47,qPL_Fact!$A:$A,DATE(2025,10,1))+SUMIFS(qPL_Fact!$D:$D,qPL_Fact!$C:$C,$B47,qPL_Fact!$A:$A,DATE(2025,11,1))+SUMIFS(qPL_Fact!$D:$D,qPL_Fact!$C:$C,$B47,qPL_Fact!$A:$A,DATE(2025,12,1))</f>
        <v/>
      </c>
      <c r="G47" s="37">
        <f>SUMIFS(qPL_Fact!$D:$D,qPL_Fact!$C:$C,$B47,qPL_Fact!$A:$A,DATE(2025,7,1))+SUMIFS(qPL_Fact!$D:$D,qPL_Fact!$C:$C,$B47,qPL_Fact!$A:$A,DATE(2025,8,1))+SUMIFS(qPL_Fact!$D:$D,qPL_Fact!$C:$C,$B47,qPL_Fact!$A:$A,DATE(2025,9,1))</f>
        <v/>
      </c>
      <c r="H47" s="37">
        <f>F47-G47</f>
        <v/>
      </c>
      <c r="I47" s="37">
        <f>SUMIFS(qPL_Fact!$D:$D,qPL_Fact!$C:$C,$B47,qPL_Fact!$A:$A,DATE(2025,1,1))+SUMIFS(qPL_Fact!$D:$D,qPL_Fact!$C:$C,$B47,qPL_Fact!$A:$A,DATE(2025,2,1))+SUMIFS(qPL_Fact!$D:$D,qPL_Fact!$C:$C,$B47,qPL_Fact!$A:$A,DATE(2025,3,1))+SUMIFS(qPL_Fact!$D:$D,qPL_Fact!$C:$C,$B47,qPL_Fact!$A:$A,DATE(2025,4,1))+SUMIFS(qPL_Fact!$D:$D,qPL_Fact!$C:$C,$B47,qPL_Fact!$A:$A,DATE(2025,5,1))+SUMIFS(qPL_Fact!$D:$D,qPL_Fact!$C:$C,$B47,qPL_Fact!$A:$A,DATE(2025,6,1))+SUMIFS(qPL_Fact!$D:$D,qPL_Fact!$C:$C,$B47,qPL_Fact!$A:$A,DATE(2025,7,1))+SUMIFS(qPL_Fact!$D:$D,qPL_Fact!$C:$C,$B47,qPL_Fact!$A:$A,DATE(2025,8,1))+SUMIFS(qPL_Fact!$D:$D,qPL_Fact!$C:$C,$B47,qPL_Fact!$A:$A,DATE(2025,9,1))+SUMIFS(qPL_Fact!$D:$D,qPL_Fact!$C:$C,$B47,qPL_Fact!$A:$A,DATE(2025,10,1))+SUMIFS(qPL_Fact!$D:$D,qPL_Fact!$C:$C,$B47,qPL_Fact!$A:$A,DATE(2025,11,1))+SUMIFS(qPL_Fact!$D:$D,qPL_Fact!$C:$C,$B47,qPL_Fact!$A:$A,DATE(2025,12,1))</f>
        <v/>
      </c>
      <c r="J47" s="37">
        <f>SUMIFS(qPL_Fact!$D:$D,qPL_Fact!$C:$C,$B47,qPL_Fact!$A:$A,DATE(2024,8,1))+SUMIFS(qPL_Fact!$D:$D,qPL_Fact!$C:$C,$B47,qPL_Fact!$A:$A,DATE(2024,9,1))+SUMIFS(qPL_Fact!$D:$D,qPL_Fact!$C:$C,$B47,qPL_Fact!$A:$A,DATE(2024,10,1))+SUMIFS(qPL_Fact!$D:$D,qPL_Fact!$C:$C,$B47,qPL_Fact!$A:$A,DATE(2024,11,1))+SUMIFS(qPL_Fact!$D:$D,qPL_Fact!$C:$C,$B47,qPL_Fact!$A:$A,DATE(2024,12,1))+SUMIFS(qPL_Fact!$D:$D,qPL_Fact!$C:$C,$B47,qPL_Fact!$A:$A,DATE(2025,1,1))+SUMIFS(qPL_Fact!$D:$D,qPL_Fact!$C:$C,$B47,qPL_Fact!$A:$A,DATE(2025,2,1))+SUMIFS(qPL_Fact!$D:$D,qPL_Fact!$C:$C,$B47,qPL_Fact!$A:$A,DATE(2025,3,1))+SUMIFS(qPL_Fact!$D:$D,qPL_Fact!$C:$C,$B47,qPL_Fact!$A:$A,DATE(2025,4,1))+SUMIFS(qPL_Fact!$D:$D,qPL_Fact!$C:$C,$B47,qPL_Fact!$A:$A,DATE(2025,5,1))+SUMIFS(qPL_Fact!$D:$D,qPL_Fact!$C:$C,$B47,qPL_Fact!$A:$A,DATE(2025,6,1))+SUMIFS(qPL_Fact!$D:$D,qPL_Fact!$C:$C,$B47,qPL_Fact!$A:$A,DATE(2025,7,1))</f>
        <v/>
      </c>
      <c r="K47" s="37">
        <f>I47-J47</f>
        <v/>
      </c>
    </row>
    <row r="48">
      <c r="A48" s="11" t="inlineStr">
        <is>
          <t>6144</t>
        </is>
      </c>
      <c r="B48" s="12" t="inlineStr">
        <is>
          <t>HVAC</t>
        </is>
      </c>
      <c r="C48" s="38">
        <f>SUMIFS(qPL_Fact!$D:$D,qPL_Fact!$C:$C,$B48,qPL_Fact!$A:$A,DATE(2025,12,1))</f>
        <v/>
      </c>
      <c r="D48" s="38">
        <f>SUMIFS(qPL_Fact!$D:$D,qPL_Fact!$C:$C,$B48,qPL_Fact!$A:$A,DATE(2025,11,1))</f>
        <v/>
      </c>
      <c r="E48" s="38">
        <f>C48-D48</f>
        <v/>
      </c>
      <c r="F48" s="38">
        <f>SUMIFS(qPL_Fact!$D:$D,qPL_Fact!$C:$C,$B48,qPL_Fact!$A:$A,DATE(2025,10,1))+SUMIFS(qPL_Fact!$D:$D,qPL_Fact!$C:$C,$B48,qPL_Fact!$A:$A,DATE(2025,11,1))+SUMIFS(qPL_Fact!$D:$D,qPL_Fact!$C:$C,$B48,qPL_Fact!$A:$A,DATE(2025,12,1))</f>
        <v/>
      </c>
      <c r="G48" s="38">
        <f>SUMIFS(qPL_Fact!$D:$D,qPL_Fact!$C:$C,$B48,qPL_Fact!$A:$A,DATE(2025,7,1))+SUMIFS(qPL_Fact!$D:$D,qPL_Fact!$C:$C,$B48,qPL_Fact!$A:$A,DATE(2025,8,1))+SUMIFS(qPL_Fact!$D:$D,qPL_Fact!$C:$C,$B48,qPL_Fact!$A:$A,DATE(2025,9,1))</f>
        <v/>
      </c>
      <c r="H48" s="38">
        <f>F48-G48</f>
        <v/>
      </c>
      <c r="I48" s="38">
        <f>SUMIFS(qPL_Fact!$D:$D,qPL_Fact!$C:$C,$B48,qPL_Fact!$A:$A,DATE(2025,1,1))+SUMIFS(qPL_Fact!$D:$D,qPL_Fact!$C:$C,$B48,qPL_Fact!$A:$A,DATE(2025,2,1))+SUMIFS(qPL_Fact!$D:$D,qPL_Fact!$C:$C,$B48,qPL_Fact!$A:$A,DATE(2025,3,1))+SUMIFS(qPL_Fact!$D:$D,qPL_Fact!$C:$C,$B48,qPL_Fact!$A:$A,DATE(2025,4,1))+SUMIFS(qPL_Fact!$D:$D,qPL_Fact!$C:$C,$B48,qPL_Fact!$A:$A,DATE(2025,5,1))+SUMIFS(qPL_Fact!$D:$D,qPL_Fact!$C:$C,$B48,qPL_Fact!$A:$A,DATE(2025,6,1))+SUMIFS(qPL_Fact!$D:$D,qPL_Fact!$C:$C,$B48,qPL_Fact!$A:$A,DATE(2025,7,1))+SUMIFS(qPL_Fact!$D:$D,qPL_Fact!$C:$C,$B48,qPL_Fact!$A:$A,DATE(2025,8,1))+SUMIFS(qPL_Fact!$D:$D,qPL_Fact!$C:$C,$B48,qPL_Fact!$A:$A,DATE(2025,9,1))+SUMIFS(qPL_Fact!$D:$D,qPL_Fact!$C:$C,$B48,qPL_Fact!$A:$A,DATE(2025,10,1))+SUMIFS(qPL_Fact!$D:$D,qPL_Fact!$C:$C,$B48,qPL_Fact!$A:$A,DATE(2025,11,1))+SUMIFS(qPL_Fact!$D:$D,qPL_Fact!$C:$C,$B48,qPL_Fact!$A:$A,DATE(2025,12,1))</f>
        <v/>
      </c>
      <c r="J48" s="38">
        <f>SUMIFS(qPL_Fact!$D:$D,qPL_Fact!$C:$C,$B48,qPL_Fact!$A:$A,DATE(2024,8,1))+SUMIFS(qPL_Fact!$D:$D,qPL_Fact!$C:$C,$B48,qPL_Fact!$A:$A,DATE(2024,9,1))+SUMIFS(qPL_Fact!$D:$D,qPL_Fact!$C:$C,$B48,qPL_Fact!$A:$A,DATE(2024,10,1))+SUMIFS(qPL_Fact!$D:$D,qPL_Fact!$C:$C,$B48,qPL_Fact!$A:$A,DATE(2024,11,1))+SUMIFS(qPL_Fact!$D:$D,qPL_Fact!$C:$C,$B48,qPL_Fact!$A:$A,DATE(2024,12,1))+SUMIFS(qPL_Fact!$D:$D,qPL_Fact!$C:$C,$B48,qPL_Fact!$A:$A,DATE(2025,1,1))+SUMIFS(qPL_Fact!$D:$D,qPL_Fact!$C:$C,$B48,qPL_Fact!$A:$A,DATE(2025,2,1))+SUMIFS(qPL_Fact!$D:$D,qPL_Fact!$C:$C,$B48,qPL_Fact!$A:$A,DATE(2025,3,1))+SUMIFS(qPL_Fact!$D:$D,qPL_Fact!$C:$C,$B48,qPL_Fact!$A:$A,DATE(2025,4,1))+SUMIFS(qPL_Fact!$D:$D,qPL_Fact!$C:$C,$B48,qPL_Fact!$A:$A,DATE(2025,5,1))+SUMIFS(qPL_Fact!$D:$D,qPL_Fact!$C:$C,$B48,qPL_Fact!$A:$A,DATE(2025,6,1))+SUMIFS(qPL_Fact!$D:$D,qPL_Fact!$C:$C,$B48,qPL_Fact!$A:$A,DATE(2025,7,1))</f>
        <v/>
      </c>
      <c r="K48" s="38">
        <f>I48-J48</f>
        <v/>
      </c>
    </row>
    <row r="49">
      <c r="A49" s="8" t="inlineStr">
        <is>
          <t>6145</t>
        </is>
      </c>
      <c r="B49" s="10" t="inlineStr">
        <is>
          <t>Key/Lock</t>
        </is>
      </c>
      <c r="C49" s="37">
        <f>SUMIFS(qPL_Fact!$D:$D,qPL_Fact!$C:$C,$B49,qPL_Fact!$A:$A,DATE(2025,12,1))</f>
        <v/>
      </c>
      <c r="D49" s="37">
        <f>SUMIFS(qPL_Fact!$D:$D,qPL_Fact!$C:$C,$B49,qPL_Fact!$A:$A,DATE(2025,11,1))</f>
        <v/>
      </c>
      <c r="E49" s="37">
        <f>C49-D49</f>
        <v/>
      </c>
      <c r="F49" s="37">
        <f>SUMIFS(qPL_Fact!$D:$D,qPL_Fact!$C:$C,$B49,qPL_Fact!$A:$A,DATE(2025,10,1))+SUMIFS(qPL_Fact!$D:$D,qPL_Fact!$C:$C,$B49,qPL_Fact!$A:$A,DATE(2025,11,1))+SUMIFS(qPL_Fact!$D:$D,qPL_Fact!$C:$C,$B49,qPL_Fact!$A:$A,DATE(2025,12,1))</f>
        <v/>
      </c>
      <c r="G49" s="37">
        <f>SUMIFS(qPL_Fact!$D:$D,qPL_Fact!$C:$C,$B49,qPL_Fact!$A:$A,DATE(2025,7,1))+SUMIFS(qPL_Fact!$D:$D,qPL_Fact!$C:$C,$B49,qPL_Fact!$A:$A,DATE(2025,8,1))+SUMIFS(qPL_Fact!$D:$D,qPL_Fact!$C:$C,$B49,qPL_Fact!$A:$A,DATE(2025,9,1))</f>
        <v/>
      </c>
      <c r="H49" s="37">
        <f>F49-G49</f>
        <v/>
      </c>
      <c r="I49" s="37">
        <f>SUMIFS(qPL_Fact!$D:$D,qPL_Fact!$C:$C,$B49,qPL_Fact!$A:$A,DATE(2025,1,1))+SUMIFS(qPL_Fact!$D:$D,qPL_Fact!$C:$C,$B49,qPL_Fact!$A:$A,DATE(2025,2,1))+SUMIFS(qPL_Fact!$D:$D,qPL_Fact!$C:$C,$B49,qPL_Fact!$A:$A,DATE(2025,3,1))+SUMIFS(qPL_Fact!$D:$D,qPL_Fact!$C:$C,$B49,qPL_Fact!$A:$A,DATE(2025,4,1))+SUMIFS(qPL_Fact!$D:$D,qPL_Fact!$C:$C,$B49,qPL_Fact!$A:$A,DATE(2025,5,1))+SUMIFS(qPL_Fact!$D:$D,qPL_Fact!$C:$C,$B49,qPL_Fact!$A:$A,DATE(2025,6,1))+SUMIFS(qPL_Fact!$D:$D,qPL_Fact!$C:$C,$B49,qPL_Fact!$A:$A,DATE(2025,7,1))+SUMIFS(qPL_Fact!$D:$D,qPL_Fact!$C:$C,$B49,qPL_Fact!$A:$A,DATE(2025,8,1))+SUMIFS(qPL_Fact!$D:$D,qPL_Fact!$C:$C,$B49,qPL_Fact!$A:$A,DATE(2025,9,1))+SUMIFS(qPL_Fact!$D:$D,qPL_Fact!$C:$C,$B49,qPL_Fact!$A:$A,DATE(2025,10,1))+SUMIFS(qPL_Fact!$D:$D,qPL_Fact!$C:$C,$B49,qPL_Fact!$A:$A,DATE(2025,11,1))+SUMIFS(qPL_Fact!$D:$D,qPL_Fact!$C:$C,$B49,qPL_Fact!$A:$A,DATE(2025,12,1))</f>
        <v/>
      </c>
      <c r="J49" s="37">
        <f>SUMIFS(qPL_Fact!$D:$D,qPL_Fact!$C:$C,$B49,qPL_Fact!$A:$A,DATE(2024,8,1))+SUMIFS(qPL_Fact!$D:$D,qPL_Fact!$C:$C,$B49,qPL_Fact!$A:$A,DATE(2024,9,1))+SUMIFS(qPL_Fact!$D:$D,qPL_Fact!$C:$C,$B49,qPL_Fact!$A:$A,DATE(2024,10,1))+SUMIFS(qPL_Fact!$D:$D,qPL_Fact!$C:$C,$B49,qPL_Fact!$A:$A,DATE(2024,11,1))+SUMIFS(qPL_Fact!$D:$D,qPL_Fact!$C:$C,$B49,qPL_Fact!$A:$A,DATE(2024,12,1))+SUMIFS(qPL_Fact!$D:$D,qPL_Fact!$C:$C,$B49,qPL_Fact!$A:$A,DATE(2025,1,1))+SUMIFS(qPL_Fact!$D:$D,qPL_Fact!$C:$C,$B49,qPL_Fact!$A:$A,DATE(2025,2,1))+SUMIFS(qPL_Fact!$D:$D,qPL_Fact!$C:$C,$B49,qPL_Fact!$A:$A,DATE(2025,3,1))+SUMIFS(qPL_Fact!$D:$D,qPL_Fact!$C:$C,$B49,qPL_Fact!$A:$A,DATE(2025,4,1))+SUMIFS(qPL_Fact!$D:$D,qPL_Fact!$C:$C,$B49,qPL_Fact!$A:$A,DATE(2025,5,1))+SUMIFS(qPL_Fact!$D:$D,qPL_Fact!$C:$C,$B49,qPL_Fact!$A:$A,DATE(2025,6,1))+SUMIFS(qPL_Fact!$D:$D,qPL_Fact!$C:$C,$B49,qPL_Fact!$A:$A,DATE(2025,7,1))</f>
        <v/>
      </c>
      <c r="K49" s="37">
        <f>I49-J49</f>
        <v/>
      </c>
    </row>
    <row r="50">
      <c r="A50" s="11" t="inlineStr">
        <is>
          <t>6147</t>
        </is>
      </c>
      <c r="B50" s="12" t="inlineStr">
        <is>
          <t>Repairs - Other</t>
        </is>
      </c>
      <c r="C50" s="38">
        <f>SUMIFS(qPL_Fact!$D:$D,qPL_Fact!$C:$C,$B50,qPL_Fact!$A:$A,DATE(2025,12,1))</f>
        <v/>
      </c>
      <c r="D50" s="38">
        <f>SUMIFS(qPL_Fact!$D:$D,qPL_Fact!$C:$C,$B50,qPL_Fact!$A:$A,DATE(2025,11,1))</f>
        <v/>
      </c>
      <c r="E50" s="38">
        <f>C50-D50</f>
        <v/>
      </c>
      <c r="F50" s="38">
        <f>SUMIFS(qPL_Fact!$D:$D,qPL_Fact!$C:$C,$B50,qPL_Fact!$A:$A,DATE(2025,10,1))+SUMIFS(qPL_Fact!$D:$D,qPL_Fact!$C:$C,$B50,qPL_Fact!$A:$A,DATE(2025,11,1))+SUMIFS(qPL_Fact!$D:$D,qPL_Fact!$C:$C,$B50,qPL_Fact!$A:$A,DATE(2025,12,1))</f>
        <v/>
      </c>
      <c r="G50" s="38">
        <f>SUMIFS(qPL_Fact!$D:$D,qPL_Fact!$C:$C,$B50,qPL_Fact!$A:$A,DATE(2025,7,1))+SUMIFS(qPL_Fact!$D:$D,qPL_Fact!$C:$C,$B50,qPL_Fact!$A:$A,DATE(2025,8,1))+SUMIFS(qPL_Fact!$D:$D,qPL_Fact!$C:$C,$B50,qPL_Fact!$A:$A,DATE(2025,9,1))</f>
        <v/>
      </c>
      <c r="H50" s="38">
        <f>F50-G50</f>
        <v/>
      </c>
      <c r="I50" s="38">
        <f>SUMIFS(qPL_Fact!$D:$D,qPL_Fact!$C:$C,$B50,qPL_Fact!$A:$A,DATE(2025,1,1))+SUMIFS(qPL_Fact!$D:$D,qPL_Fact!$C:$C,$B50,qPL_Fact!$A:$A,DATE(2025,2,1))+SUMIFS(qPL_Fact!$D:$D,qPL_Fact!$C:$C,$B50,qPL_Fact!$A:$A,DATE(2025,3,1))+SUMIFS(qPL_Fact!$D:$D,qPL_Fact!$C:$C,$B50,qPL_Fact!$A:$A,DATE(2025,4,1))+SUMIFS(qPL_Fact!$D:$D,qPL_Fact!$C:$C,$B50,qPL_Fact!$A:$A,DATE(2025,5,1))+SUMIFS(qPL_Fact!$D:$D,qPL_Fact!$C:$C,$B50,qPL_Fact!$A:$A,DATE(2025,6,1))+SUMIFS(qPL_Fact!$D:$D,qPL_Fact!$C:$C,$B50,qPL_Fact!$A:$A,DATE(2025,7,1))+SUMIFS(qPL_Fact!$D:$D,qPL_Fact!$C:$C,$B50,qPL_Fact!$A:$A,DATE(2025,8,1))+SUMIFS(qPL_Fact!$D:$D,qPL_Fact!$C:$C,$B50,qPL_Fact!$A:$A,DATE(2025,9,1))+SUMIFS(qPL_Fact!$D:$D,qPL_Fact!$C:$C,$B50,qPL_Fact!$A:$A,DATE(2025,10,1))+SUMIFS(qPL_Fact!$D:$D,qPL_Fact!$C:$C,$B50,qPL_Fact!$A:$A,DATE(2025,11,1))+SUMIFS(qPL_Fact!$D:$D,qPL_Fact!$C:$C,$B50,qPL_Fact!$A:$A,DATE(2025,12,1))</f>
        <v/>
      </c>
      <c r="J50" s="38">
        <f>SUMIFS(qPL_Fact!$D:$D,qPL_Fact!$C:$C,$B50,qPL_Fact!$A:$A,DATE(2024,8,1))+SUMIFS(qPL_Fact!$D:$D,qPL_Fact!$C:$C,$B50,qPL_Fact!$A:$A,DATE(2024,9,1))+SUMIFS(qPL_Fact!$D:$D,qPL_Fact!$C:$C,$B50,qPL_Fact!$A:$A,DATE(2024,10,1))+SUMIFS(qPL_Fact!$D:$D,qPL_Fact!$C:$C,$B50,qPL_Fact!$A:$A,DATE(2024,11,1))+SUMIFS(qPL_Fact!$D:$D,qPL_Fact!$C:$C,$B50,qPL_Fact!$A:$A,DATE(2024,12,1))+SUMIFS(qPL_Fact!$D:$D,qPL_Fact!$C:$C,$B50,qPL_Fact!$A:$A,DATE(2025,1,1))+SUMIFS(qPL_Fact!$D:$D,qPL_Fact!$C:$C,$B50,qPL_Fact!$A:$A,DATE(2025,2,1))+SUMIFS(qPL_Fact!$D:$D,qPL_Fact!$C:$C,$B50,qPL_Fact!$A:$A,DATE(2025,3,1))+SUMIFS(qPL_Fact!$D:$D,qPL_Fact!$C:$C,$B50,qPL_Fact!$A:$A,DATE(2025,4,1))+SUMIFS(qPL_Fact!$D:$D,qPL_Fact!$C:$C,$B50,qPL_Fact!$A:$A,DATE(2025,5,1))+SUMIFS(qPL_Fact!$D:$D,qPL_Fact!$C:$C,$B50,qPL_Fact!$A:$A,DATE(2025,6,1))+SUMIFS(qPL_Fact!$D:$D,qPL_Fact!$C:$C,$B50,qPL_Fact!$A:$A,DATE(2025,7,1))</f>
        <v/>
      </c>
      <c r="K50" s="38">
        <f>I50-J50</f>
        <v/>
      </c>
    </row>
    <row r="51">
      <c r="A51" s="8" t="inlineStr">
        <is>
          <t>6150</t>
        </is>
      </c>
      <c r="B51" s="10" t="inlineStr">
        <is>
          <t>Supplies</t>
        </is>
      </c>
      <c r="C51" s="37">
        <f>SUMIFS(qPL_Fact!$D:$D,qPL_Fact!$C:$C,$B51,qPL_Fact!$A:$A,DATE(2025,12,1))</f>
        <v/>
      </c>
      <c r="D51" s="37">
        <f>SUMIFS(qPL_Fact!$D:$D,qPL_Fact!$C:$C,$B51,qPL_Fact!$A:$A,DATE(2025,11,1))</f>
        <v/>
      </c>
      <c r="E51" s="37">
        <f>C51-D51</f>
        <v/>
      </c>
      <c r="F51" s="37">
        <f>SUMIFS(qPL_Fact!$D:$D,qPL_Fact!$C:$C,$B51,qPL_Fact!$A:$A,DATE(2025,10,1))+SUMIFS(qPL_Fact!$D:$D,qPL_Fact!$C:$C,$B51,qPL_Fact!$A:$A,DATE(2025,11,1))+SUMIFS(qPL_Fact!$D:$D,qPL_Fact!$C:$C,$B51,qPL_Fact!$A:$A,DATE(2025,12,1))</f>
        <v/>
      </c>
      <c r="G51" s="37">
        <f>SUMIFS(qPL_Fact!$D:$D,qPL_Fact!$C:$C,$B51,qPL_Fact!$A:$A,DATE(2025,7,1))+SUMIFS(qPL_Fact!$D:$D,qPL_Fact!$C:$C,$B51,qPL_Fact!$A:$A,DATE(2025,8,1))+SUMIFS(qPL_Fact!$D:$D,qPL_Fact!$C:$C,$B51,qPL_Fact!$A:$A,DATE(2025,9,1))</f>
        <v/>
      </c>
      <c r="H51" s="37">
        <f>F51-G51</f>
        <v/>
      </c>
      <c r="I51" s="37">
        <f>SUMIFS(qPL_Fact!$D:$D,qPL_Fact!$C:$C,$B51,qPL_Fact!$A:$A,DATE(2025,1,1))+SUMIFS(qPL_Fact!$D:$D,qPL_Fact!$C:$C,$B51,qPL_Fact!$A:$A,DATE(2025,2,1))+SUMIFS(qPL_Fact!$D:$D,qPL_Fact!$C:$C,$B51,qPL_Fact!$A:$A,DATE(2025,3,1))+SUMIFS(qPL_Fact!$D:$D,qPL_Fact!$C:$C,$B51,qPL_Fact!$A:$A,DATE(2025,4,1))+SUMIFS(qPL_Fact!$D:$D,qPL_Fact!$C:$C,$B51,qPL_Fact!$A:$A,DATE(2025,5,1))+SUMIFS(qPL_Fact!$D:$D,qPL_Fact!$C:$C,$B51,qPL_Fact!$A:$A,DATE(2025,6,1))+SUMIFS(qPL_Fact!$D:$D,qPL_Fact!$C:$C,$B51,qPL_Fact!$A:$A,DATE(2025,7,1))+SUMIFS(qPL_Fact!$D:$D,qPL_Fact!$C:$C,$B51,qPL_Fact!$A:$A,DATE(2025,8,1))+SUMIFS(qPL_Fact!$D:$D,qPL_Fact!$C:$C,$B51,qPL_Fact!$A:$A,DATE(2025,9,1))+SUMIFS(qPL_Fact!$D:$D,qPL_Fact!$C:$C,$B51,qPL_Fact!$A:$A,DATE(2025,10,1))+SUMIFS(qPL_Fact!$D:$D,qPL_Fact!$C:$C,$B51,qPL_Fact!$A:$A,DATE(2025,11,1))+SUMIFS(qPL_Fact!$D:$D,qPL_Fact!$C:$C,$B51,qPL_Fact!$A:$A,DATE(2025,12,1))</f>
        <v/>
      </c>
      <c r="J51" s="37">
        <f>SUMIFS(qPL_Fact!$D:$D,qPL_Fact!$C:$C,$B51,qPL_Fact!$A:$A,DATE(2024,8,1))+SUMIFS(qPL_Fact!$D:$D,qPL_Fact!$C:$C,$B51,qPL_Fact!$A:$A,DATE(2024,9,1))+SUMIFS(qPL_Fact!$D:$D,qPL_Fact!$C:$C,$B51,qPL_Fact!$A:$A,DATE(2024,10,1))+SUMIFS(qPL_Fact!$D:$D,qPL_Fact!$C:$C,$B51,qPL_Fact!$A:$A,DATE(2024,11,1))+SUMIFS(qPL_Fact!$D:$D,qPL_Fact!$C:$C,$B51,qPL_Fact!$A:$A,DATE(2024,12,1))+SUMIFS(qPL_Fact!$D:$D,qPL_Fact!$C:$C,$B51,qPL_Fact!$A:$A,DATE(2025,1,1))+SUMIFS(qPL_Fact!$D:$D,qPL_Fact!$C:$C,$B51,qPL_Fact!$A:$A,DATE(2025,2,1))+SUMIFS(qPL_Fact!$D:$D,qPL_Fact!$C:$C,$B51,qPL_Fact!$A:$A,DATE(2025,3,1))+SUMIFS(qPL_Fact!$D:$D,qPL_Fact!$C:$C,$B51,qPL_Fact!$A:$A,DATE(2025,4,1))+SUMIFS(qPL_Fact!$D:$D,qPL_Fact!$C:$C,$B51,qPL_Fact!$A:$A,DATE(2025,5,1))+SUMIFS(qPL_Fact!$D:$D,qPL_Fact!$C:$C,$B51,qPL_Fact!$A:$A,DATE(2025,6,1))+SUMIFS(qPL_Fact!$D:$D,qPL_Fact!$C:$C,$B51,qPL_Fact!$A:$A,DATE(2025,7,1))</f>
        <v/>
      </c>
      <c r="K51" s="37">
        <f>I51-J51</f>
        <v/>
      </c>
    </row>
    <row r="52">
      <c r="A52" s="11" t="inlineStr">
        <is>
          <t>6101</t>
        </is>
      </c>
      <c r="B52" s="12" t="inlineStr">
        <is>
          <t>Legal</t>
        </is>
      </c>
      <c r="C52" s="38">
        <f>SUMIFS(qPL_Fact!$D:$D,qPL_Fact!$C:$C,$B52,qPL_Fact!$A:$A,DATE(2025,12,1))</f>
        <v/>
      </c>
      <c r="D52" s="38">
        <f>SUMIFS(qPL_Fact!$D:$D,qPL_Fact!$C:$C,$B52,qPL_Fact!$A:$A,DATE(2025,11,1))</f>
        <v/>
      </c>
      <c r="E52" s="38">
        <f>C52-D52</f>
        <v/>
      </c>
      <c r="F52" s="38">
        <f>SUMIFS(qPL_Fact!$D:$D,qPL_Fact!$C:$C,$B52,qPL_Fact!$A:$A,DATE(2025,10,1))+SUMIFS(qPL_Fact!$D:$D,qPL_Fact!$C:$C,$B52,qPL_Fact!$A:$A,DATE(2025,11,1))+SUMIFS(qPL_Fact!$D:$D,qPL_Fact!$C:$C,$B52,qPL_Fact!$A:$A,DATE(2025,12,1))</f>
        <v/>
      </c>
      <c r="G52" s="38">
        <f>SUMIFS(qPL_Fact!$D:$D,qPL_Fact!$C:$C,$B52,qPL_Fact!$A:$A,DATE(2025,7,1))+SUMIFS(qPL_Fact!$D:$D,qPL_Fact!$C:$C,$B52,qPL_Fact!$A:$A,DATE(2025,8,1))+SUMIFS(qPL_Fact!$D:$D,qPL_Fact!$C:$C,$B52,qPL_Fact!$A:$A,DATE(2025,9,1))</f>
        <v/>
      </c>
      <c r="H52" s="38">
        <f>F52-G52</f>
        <v/>
      </c>
      <c r="I52" s="38">
        <f>SUMIFS(qPL_Fact!$D:$D,qPL_Fact!$C:$C,$B52,qPL_Fact!$A:$A,DATE(2025,1,1))+SUMIFS(qPL_Fact!$D:$D,qPL_Fact!$C:$C,$B52,qPL_Fact!$A:$A,DATE(2025,2,1))+SUMIFS(qPL_Fact!$D:$D,qPL_Fact!$C:$C,$B52,qPL_Fact!$A:$A,DATE(2025,3,1))+SUMIFS(qPL_Fact!$D:$D,qPL_Fact!$C:$C,$B52,qPL_Fact!$A:$A,DATE(2025,4,1))+SUMIFS(qPL_Fact!$D:$D,qPL_Fact!$C:$C,$B52,qPL_Fact!$A:$A,DATE(2025,5,1))+SUMIFS(qPL_Fact!$D:$D,qPL_Fact!$C:$C,$B52,qPL_Fact!$A:$A,DATE(2025,6,1))+SUMIFS(qPL_Fact!$D:$D,qPL_Fact!$C:$C,$B52,qPL_Fact!$A:$A,DATE(2025,7,1))+SUMIFS(qPL_Fact!$D:$D,qPL_Fact!$C:$C,$B52,qPL_Fact!$A:$A,DATE(2025,8,1))+SUMIFS(qPL_Fact!$D:$D,qPL_Fact!$C:$C,$B52,qPL_Fact!$A:$A,DATE(2025,9,1))+SUMIFS(qPL_Fact!$D:$D,qPL_Fact!$C:$C,$B52,qPL_Fact!$A:$A,DATE(2025,10,1))+SUMIFS(qPL_Fact!$D:$D,qPL_Fact!$C:$C,$B52,qPL_Fact!$A:$A,DATE(2025,11,1))+SUMIFS(qPL_Fact!$D:$D,qPL_Fact!$C:$C,$B52,qPL_Fact!$A:$A,DATE(2025,12,1))</f>
        <v/>
      </c>
      <c r="J52" s="38">
        <f>SUMIFS(qPL_Fact!$D:$D,qPL_Fact!$C:$C,$B52,qPL_Fact!$A:$A,DATE(2024,8,1))+SUMIFS(qPL_Fact!$D:$D,qPL_Fact!$C:$C,$B52,qPL_Fact!$A:$A,DATE(2024,9,1))+SUMIFS(qPL_Fact!$D:$D,qPL_Fact!$C:$C,$B52,qPL_Fact!$A:$A,DATE(2024,10,1))+SUMIFS(qPL_Fact!$D:$D,qPL_Fact!$C:$C,$B52,qPL_Fact!$A:$A,DATE(2024,11,1))+SUMIFS(qPL_Fact!$D:$D,qPL_Fact!$C:$C,$B52,qPL_Fact!$A:$A,DATE(2024,12,1))+SUMIFS(qPL_Fact!$D:$D,qPL_Fact!$C:$C,$B52,qPL_Fact!$A:$A,DATE(2025,1,1))+SUMIFS(qPL_Fact!$D:$D,qPL_Fact!$C:$C,$B52,qPL_Fact!$A:$A,DATE(2025,2,1))+SUMIFS(qPL_Fact!$D:$D,qPL_Fact!$C:$C,$B52,qPL_Fact!$A:$A,DATE(2025,3,1))+SUMIFS(qPL_Fact!$D:$D,qPL_Fact!$C:$C,$B52,qPL_Fact!$A:$A,DATE(2025,4,1))+SUMIFS(qPL_Fact!$D:$D,qPL_Fact!$C:$C,$B52,qPL_Fact!$A:$A,DATE(2025,5,1))+SUMIFS(qPL_Fact!$D:$D,qPL_Fact!$C:$C,$B52,qPL_Fact!$A:$A,DATE(2025,6,1))+SUMIFS(qPL_Fact!$D:$D,qPL_Fact!$C:$C,$B52,qPL_Fact!$A:$A,DATE(2025,7,1))</f>
        <v/>
      </c>
      <c r="K52" s="38">
        <f>I52-J52</f>
        <v/>
      </c>
    </row>
    <row r="53">
      <c r="A53" s="8" t="inlineStr">
        <is>
          <t>6102</t>
        </is>
      </c>
      <c r="B53" s="10" t="inlineStr">
        <is>
          <t>Accounting</t>
        </is>
      </c>
      <c r="C53" s="37">
        <f>SUMIFS(qPL_Fact!$D:$D,qPL_Fact!$C:$C,$B53,qPL_Fact!$A:$A,DATE(2025,12,1))</f>
        <v/>
      </c>
      <c r="D53" s="37">
        <f>SUMIFS(qPL_Fact!$D:$D,qPL_Fact!$C:$C,$B53,qPL_Fact!$A:$A,DATE(2025,11,1))</f>
        <v/>
      </c>
      <c r="E53" s="37">
        <f>C53-D53</f>
        <v/>
      </c>
      <c r="F53" s="37">
        <f>SUMIFS(qPL_Fact!$D:$D,qPL_Fact!$C:$C,$B53,qPL_Fact!$A:$A,DATE(2025,10,1))+SUMIFS(qPL_Fact!$D:$D,qPL_Fact!$C:$C,$B53,qPL_Fact!$A:$A,DATE(2025,11,1))+SUMIFS(qPL_Fact!$D:$D,qPL_Fact!$C:$C,$B53,qPL_Fact!$A:$A,DATE(2025,12,1))</f>
        <v/>
      </c>
      <c r="G53" s="37">
        <f>SUMIFS(qPL_Fact!$D:$D,qPL_Fact!$C:$C,$B53,qPL_Fact!$A:$A,DATE(2025,7,1))+SUMIFS(qPL_Fact!$D:$D,qPL_Fact!$C:$C,$B53,qPL_Fact!$A:$A,DATE(2025,8,1))+SUMIFS(qPL_Fact!$D:$D,qPL_Fact!$C:$C,$B53,qPL_Fact!$A:$A,DATE(2025,9,1))</f>
        <v/>
      </c>
      <c r="H53" s="37">
        <f>F53-G53</f>
        <v/>
      </c>
      <c r="I53" s="37">
        <f>SUMIFS(qPL_Fact!$D:$D,qPL_Fact!$C:$C,$B53,qPL_Fact!$A:$A,DATE(2025,1,1))+SUMIFS(qPL_Fact!$D:$D,qPL_Fact!$C:$C,$B53,qPL_Fact!$A:$A,DATE(2025,2,1))+SUMIFS(qPL_Fact!$D:$D,qPL_Fact!$C:$C,$B53,qPL_Fact!$A:$A,DATE(2025,3,1))+SUMIFS(qPL_Fact!$D:$D,qPL_Fact!$C:$C,$B53,qPL_Fact!$A:$A,DATE(2025,4,1))+SUMIFS(qPL_Fact!$D:$D,qPL_Fact!$C:$C,$B53,qPL_Fact!$A:$A,DATE(2025,5,1))+SUMIFS(qPL_Fact!$D:$D,qPL_Fact!$C:$C,$B53,qPL_Fact!$A:$A,DATE(2025,6,1))+SUMIFS(qPL_Fact!$D:$D,qPL_Fact!$C:$C,$B53,qPL_Fact!$A:$A,DATE(2025,7,1))+SUMIFS(qPL_Fact!$D:$D,qPL_Fact!$C:$C,$B53,qPL_Fact!$A:$A,DATE(2025,8,1))+SUMIFS(qPL_Fact!$D:$D,qPL_Fact!$C:$C,$B53,qPL_Fact!$A:$A,DATE(2025,9,1))+SUMIFS(qPL_Fact!$D:$D,qPL_Fact!$C:$C,$B53,qPL_Fact!$A:$A,DATE(2025,10,1))+SUMIFS(qPL_Fact!$D:$D,qPL_Fact!$C:$C,$B53,qPL_Fact!$A:$A,DATE(2025,11,1))+SUMIFS(qPL_Fact!$D:$D,qPL_Fact!$C:$C,$B53,qPL_Fact!$A:$A,DATE(2025,12,1))</f>
        <v/>
      </c>
      <c r="J53" s="37">
        <f>SUMIFS(qPL_Fact!$D:$D,qPL_Fact!$C:$C,$B53,qPL_Fact!$A:$A,DATE(2024,8,1))+SUMIFS(qPL_Fact!$D:$D,qPL_Fact!$C:$C,$B53,qPL_Fact!$A:$A,DATE(2024,9,1))+SUMIFS(qPL_Fact!$D:$D,qPL_Fact!$C:$C,$B53,qPL_Fact!$A:$A,DATE(2024,10,1))+SUMIFS(qPL_Fact!$D:$D,qPL_Fact!$C:$C,$B53,qPL_Fact!$A:$A,DATE(2024,11,1))+SUMIFS(qPL_Fact!$D:$D,qPL_Fact!$C:$C,$B53,qPL_Fact!$A:$A,DATE(2024,12,1))+SUMIFS(qPL_Fact!$D:$D,qPL_Fact!$C:$C,$B53,qPL_Fact!$A:$A,DATE(2025,1,1))+SUMIFS(qPL_Fact!$D:$D,qPL_Fact!$C:$C,$B53,qPL_Fact!$A:$A,DATE(2025,2,1))+SUMIFS(qPL_Fact!$D:$D,qPL_Fact!$C:$C,$B53,qPL_Fact!$A:$A,DATE(2025,3,1))+SUMIFS(qPL_Fact!$D:$D,qPL_Fact!$C:$C,$B53,qPL_Fact!$A:$A,DATE(2025,4,1))+SUMIFS(qPL_Fact!$D:$D,qPL_Fact!$C:$C,$B53,qPL_Fact!$A:$A,DATE(2025,5,1))+SUMIFS(qPL_Fact!$D:$D,qPL_Fact!$C:$C,$B53,qPL_Fact!$A:$A,DATE(2025,6,1))+SUMIFS(qPL_Fact!$D:$D,qPL_Fact!$C:$C,$B53,qPL_Fact!$A:$A,DATE(2025,7,1))</f>
        <v/>
      </c>
      <c r="K53" s="37">
        <f>I53-J53</f>
        <v/>
      </c>
    </row>
    <row r="54">
      <c r="A54" s="11" t="inlineStr">
        <is>
          <t>6103</t>
        </is>
      </c>
      <c r="B54" s="12" t="inlineStr">
        <is>
          <t>Professional - Other</t>
        </is>
      </c>
      <c r="C54" s="38">
        <f>SUMIFS(qPL_Fact!$D:$D,qPL_Fact!$C:$C,$B54,qPL_Fact!$A:$A,DATE(2025,12,1))</f>
        <v/>
      </c>
      <c r="D54" s="38">
        <f>SUMIFS(qPL_Fact!$D:$D,qPL_Fact!$C:$C,$B54,qPL_Fact!$A:$A,DATE(2025,11,1))</f>
        <v/>
      </c>
      <c r="E54" s="38">
        <f>C54-D54</f>
        <v/>
      </c>
      <c r="F54" s="38">
        <f>SUMIFS(qPL_Fact!$D:$D,qPL_Fact!$C:$C,$B54,qPL_Fact!$A:$A,DATE(2025,10,1))+SUMIFS(qPL_Fact!$D:$D,qPL_Fact!$C:$C,$B54,qPL_Fact!$A:$A,DATE(2025,11,1))+SUMIFS(qPL_Fact!$D:$D,qPL_Fact!$C:$C,$B54,qPL_Fact!$A:$A,DATE(2025,12,1))</f>
        <v/>
      </c>
      <c r="G54" s="38">
        <f>SUMIFS(qPL_Fact!$D:$D,qPL_Fact!$C:$C,$B54,qPL_Fact!$A:$A,DATE(2025,7,1))+SUMIFS(qPL_Fact!$D:$D,qPL_Fact!$C:$C,$B54,qPL_Fact!$A:$A,DATE(2025,8,1))+SUMIFS(qPL_Fact!$D:$D,qPL_Fact!$C:$C,$B54,qPL_Fact!$A:$A,DATE(2025,9,1))</f>
        <v/>
      </c>
      <c r="H54" s="38">
        <f>F54-G54</f>
        <v/>
      </c>
      <c r="I54" s="38">
        <f>SUMIFS(qPL_Fact!$D:$D,qPL_Fact!$C:$C,$B54,qPL_Fact!$A:$A,DATE(2025,1,1))+SUMIFS(qPL_Fact!$D:$D,qPL_Fact!$C:$C,$B54,qPL_Fact!$A:$A,DATE(2025,2,1))+SUMIFS(qPL_Fact!$D:$D,qPL_Fact!$C:$C,$B54,qPL_Fact!$A:$A,DATE(2025,3,1))+SUMIFS(qPL_Fact!$D:$D,qPL_Fact!$C:$C,$B54,qPL_Fact!$A:$A,DATE(2025,4,1))+SUMIFS(qPL_Fact!$D:$D,qPL_Fact!$C:$C,$B54,qPL_Fact!$A:$A,DATE(2025,5,1))+SUMIFS(qPL_Fact!$D:$D,qPL_Fact!$C:$C,$B54,qPL_Fact!$A:$A,DATE(2025,6,1))+SUMIFS(qPL_Fact!$D:$D,qPL_Fact!$C:$C,$B54,qPL_Fact!$A:$A,DATE(2025,7,1))+SUMIFS(qPL_Fact!$D:$D,qPL_Fact!$C:$C,$B54,qPL_Fact!$A:$A,DATE(2025,8,1))+SUMIFS(qPL_Fact!$D:$D,qPL_Fact!$C:$C,$B54,qPL_Fact!$A:$A,DATE(2025,9,1))+SUMIFS(qPL_Fact!$D:$D,qPL_Fact!$C:$C,$B54,qPL_Fact!$A:$A,DATE(2025,10,1))+SUMIFS(qPL_Fact!$D:$D,qPL_Fact!$C:$C,$B54,qPL_Fact!$A:$A,DATE(2025,11,1))+SUMIFS(qPL_Fact!$D:$D,qPL_Fact!$C:$C,$B54,qPL_Fact!$A:$A,DATE(2025,12,1))</f>
        <v/>
      </c>
      <c r="J54" s="38">
        <f>SUMIFS(qPL_Fact!$D:$D,qPL_Fact!$C:$C,$B54,qPL_Fact!$A:$A,DATE(2024,8,1))+SUMIFS(qPL_Fact!$D:$D,qPL_Fact!$C:$C,$B54,qPL_Fact!$A:$A,DATE(2024,9,1))+SUMIFS(qPL_Fact!$D:$D,qPL_Fact!$C:$C,$B54,qPL_Fact!$A:$A,DATE(2024,10,1))+SUMIFS(qPL_Fact!$D:$D,qPL_Fact!$C:$C,$B54,qPL_Fact!$A:$A,DATE(2024,11,1))+SUMIFS(qPL_Fact!$D:$D,qPL_Fact!$C:$C,$B54,qPL_Fact!$A:$A,DATE(2024,12,1))+SUMIFS(qPL_Fact!$D:$D,qPL_Fact!$C:$C,$B54,qPL_Fact!$A:$A,DATE(2025,1,1))+SUMIFS(qPL_Fact!$D:$D,qPL_Fact!$C:$C,$B54,qPL_Fact!$A:$A,DATE(2025,2,1))+SUMIFS(qPL_Fact!$D:$D,qPL_Fact!$C:$C,$B54,qPL_Fact!$A:$A,DATE(2025,3,1))+SUMIFS(qPL_Fact!$D:$D,qPL_Fact!$C:$C,$B54,qPL_Fact!$A:$A,DATE(2025,4,1))+SUMIFS(qPL_Fact!$D:$D,qPL_Fact!$C:$C,$B54,qPL_Fact!$A:$A,DATE(2025,5,1))+SUMIFS(qPL_Fact!$D:$D,qPL_Fact!$C:$C,$B54,qPL_Fact!$A:$A,DATE(2025,6,1))+SUMIFS(qPL_Fact!$D:$D,qPL_Fact!$C:$C,$B54,qPL_Fact!$A:$A,DATE(2025,7,1))</f>
        <v/>
      </c>
      <c r="K54" s="38">
        <f>I54-J54</f>
        <v/>
      </c>
    </row>
    <row r="55">
      <c r="A55" s="8" t="inlineStr">
        <is>
          <t>6105</t>
        </is>
      </c>
      <c r="B55" s="10" t="inlineStr">
        <is>
          <t>Security Service</t>
        </is>
      </c>
      <c r="C55" s="37">
        <f>SUMIFS(qPL_Fact!$D:$D,qPL_Fact!$C:$C,$B55,qPL_Fact!$A:$A,DATE(2025,12,1))</f>
        <v/>
      </c>
      <c r="D55" s="37">
        <f>SUMIFS(qPL_Fact!$D:$D,qPL_Fact!$C:$C,$B55,qPL_Fact!$A:$A,DATE(2025,11,1))</f>
        <v/>
      </c>
      <c r="E55" s="37">
        <f>C55-D55</f>
        <v/>
      </c>
      <c r="F55" s="37">
        <f>SUMIFS(qPL_Fact!$D:$D,qPL_Fact!$C:$C,$B55,qPL_Fact!$A:$A,DATE(2025,10,1))+SUMIFS(qPL_Fact!$D:$D,qPL_Fact!$C:$C,$B55,qPL_Fact!$A:$A,DATE(2025,11,1))+SUMIFS(qPL_Fact!$D:$D,qPL_Fact!$C:$C,$B55,qPL_Fact!$A:$A,DATE(2025,12,1))</f>
        <v/>
      </c>
      <c r="G55" s="37">
        <f>SUMIFS(qPL_Fact!$D:$D,qPL_Fact!$C:$C,$B55,qPL_Fact!$A:$A,DATE(2025,7,1))+SUMIFS(qPL_Fact!$D:$D,qPL_Fact!$C:$C,$B55,qPL_Fact!$A:$A,DATE(2025,8,1))+SUMIFS(qPL_Fact!$D:$D,qPL_Fact!$C:$C,$B55,qPL_Fact!$A:$A,DATE(2025,9,1))</f>
        <v/>
      </c>
      <c r="H55" s="37">
        <f>F55-G55</f>
        <v/>
      </c>
      <c r="I55" s="37">
        <f>SUMIFS(qPL_Fact!$D:$D,qPL_Fact!$C:$C,$B55,qPL_Fact!$A:$A,DATE(2025,1,1))+SUMIFS(qPL_Fact!$D:$D,qPL_Fact!$C:$C,$B55,qPL_Fact!$A:$A,DATE(2025,2,1))+SUMIFS(qPL_Fact!$D:$D,qPL_Fact!$C:$C,$B55,qPL_Fact!$A:$A,DATE(2025,3,1))+SUMIFS(qPL_Fact!$D:$D,qPL_Fact!$C:$C,$B55,qPL_Fact!$A:$A,DATE(2025,4,1))+SUMIFS(qPL_Fact!$D:$D,qPL_Fact!$C:$C,$B55,qPL_Fact!$A:$A,DATE(2025,5,1))+SUMIFS(qPL_Fact!$D:$D,qPL_Fact!$C:$C,$B55,qPL_Fact!$A:$A,DATE(2025,6,1))+SUMIFS(qPL_Fact!$D:$D,qPL_Fact!$C:$C,$B55,qPL_Fact!$A:$A,DATE(2025,7,1))+SUMIFS(qPL_Fact!$D:$D,qPL_Fact!$C:$C,$B55,qPL_Fact!$A:$A,DATE(2025,8,1))+SUMIFS(qPL_Fact!$D:$D,qPL_Fact!$C:$C,$B55,qPL_Fact!$A:$A,DATE(2025,9,1))+SUMIFS(qPL_Fact!$D:$D,qPL_Fact!$C:$C,$B55,qPL_Fact!$A:$A,DATE(2025,10,1))+SUMIFS(qPL_Fact!$D:$D,qPL_Fact!$C:$C,$B55,qPL_Fact!$A:$A,DATE(2025,11,1))+SUMIFS(qPL_Fact!$D:$D,qPL_Fact!$C:$C,$B55,qPL_Fact!$A:$A,DATE(2025,12,1))</f>
        <v/>
      </c>
      <c r="J55" s="37">
        <f>SUMIFS(qPL_Fact!$D:$D,qPL_Fact!$C:$C,$B55,qPL_Fact!$A:$A,DATE(2024,8,1))+SUMIFS(qPL_Fact!$D:$D,qPL_Fact!$C:$C,$B55,qPL_Fact!$A:$A,DATE(2024,9,1))+SUMIFS(qPL_Fact!$D:$D,qPL_Fact!$C:$C,$B55,qPL_Fact!$A:$A,DATE(2024,10,1))+SUMIFS(qPL_Fact!$D:$D,qPL_Fact!$C:$C,$B55,qPL_Fact!$A:$A,DATE(2024,11,1))+SUMIFS(qPL_Fact!$D:$D,qPL_Fact!$C:$C,$B55,qPL_Fact!$A:$A,DATE(2024,12,1))+SUMIFS(qPL_Fact!$D:$D,qPL_Fact!$C:$C,$B55,qPL_Fact!$A:$A,DATE(2025,1,1))+SUMIFS(qPL_Fact!$D:$D,qPL_Fact!$C:$C,$B55,qPL_Fact!$A:$A,DATE(2025,2,1))+SUMIFS(qPL_Fact!$D:$D,qPL_Fact!$C:$C,$B55,qPL_Fact!$A:$A,DATE(2025,3,1))+SUMIFS(qPL_Fact!$D:$D,qPL_Fact!$C:$C,$B55,qPL_Fact!$A:$A,DATE(2025,4,1))+SUMIFS(qPL_Fact!$D:$D,qPL_Fact!$C:$C,$B55,qPL_Fact!$A:$A,DATE(2025,5,1))+SUMIFS(qPL_Fact!$D:$D,qPL_Fact!$C:$C,$B55,qPL_Fact!$A:$A,DATE(2025,6,1))+SUMIFS(qPL_Fact!$D:$D,qPL_Fact!$C:$C,$B55,qPL_Fact!$A:$A,DATE(2025,7,1))</f>
        <v/>
      </c>
      <c r="K55" s="37">
        <f>I55-J55</f>
        <v/>
      </c>
    </row>
    <row r="56">
      <c r="A56" s="11" t="inlineStr">
        <is>
          <t>6106</t>
        </is>
      </c>
      <c r="B56" s="12" t="inlineStr">
        <is>
          <t>Bank Fees</t>
        </is>
      </c>
      <c r="C56" s="38">
        <f>SUMIFS(qPL_Fact!$D:$D,qPL_Fact!$C:$C,$B56,qPL_Fact!$A:$A,DATE(2025,12,1))</f>
        <v/>
      </c>
      <c r="D56" s="38">
        <f>SUMIFS(qPL_Fact!$D:$D,qPL_Fact!$C:$C,$B56,qPL_Fact!$A:$A,DATE(2025,11,1))</f>
        <v/>
      </c>
      <c r="E56" s="38">
        <f>C56-D56</f>
        <v/>
      </c>
      <c r="F56" s="38">
        <f>SUMIFS(qPL_Fact!$D:$D,qPL_Fact!$C:$C,$B56,qPL_Fact!$A:$A,DATE(2025,10,1))+SUMIFS(qPL_Fact!$D:$D,qPL_Fact!$C:$C,$B56,qPL_Fact!$A:$A,DATE(2025,11,1))+SUMIFS(qPL_Fact!$D:$D,qPL_Fact!$C:$C,$B56,qPL_Fact!$A:$A,DATE(2025,12,1))</f>
        <v/>
      </c>
      <c r="G56" s="38">
        <f>SUMIFS(qPL_Fact!$D:$D,qPL_Fact!$C:$C,$B56,qPL_Fact!$A:$A,DATE(2025,7,1))+SUMIFS(qPL_Fact!$D:$D,qPL_Fact!$C:$C,$B56,qPL_Fact!$A:$A,DATE(2025,8,1))+SUMIFS(qPL_Fact!$D:$D,qPL_Fact!$C:$C,$B56,qPL_Fact!$A:$A,DATE(2025,9,1))</f>
        <v/>
      </c>
      <c r="H56" s="38">
        <f>F56-G56</f>
        <v/>
      </c>
      <c r="I56" s="38">
        <f>SUMIFS(qPL_Fact!$D:$D,qPL_Fact!$C:$C,$B56,qPL_Fact!$A:$A,DATE(2025,1,1))+SUMIFS(qPL_Fact!$D:$D,qPL_Fact!$C:$C,$B56,qPL_Fact!$A:$A,DATE(2025,2,1))+SUMIFS(qPL_Fact!$D:$D,qPL_Fact!$C:$C,$B56,qPL_Fact!$A:$A,DATE(2025,3,1))+SUMIFS(qPL_Fact!$D:$D,qPL_Fact!$C:$C,$B56,qPL_Fact!$A:$A,DATE(2025,4,1))+SUMIFS(qPL_Fact!$D:$D,qPL_Fact!$C:$C,$B56,qPL_Fact!$A:$A,DATE(2025,5,1))+SUMIFS(qPL_Fact!$D:$D,qPL_Fact!$C:$C,$B56,qPL_Fact!$A:$A,DATE(2025,6,1))+SUMIFS(qPL_Fact!$D:$D,qPL_Fact!$C:$C,$B56,qPL_Fact!$A:$A,DATE(2025,7,1))+SUMIFS(qPL_Fact!$D:$D,qPL_Fact!$C:$C,$B56,qPL_Fact!$A:$A,DATE(2025,8,1))+SUMIFS(qPL_Fact!$D:$D,qPL_Fact!$C:$C,$B56,qPL_Fact!$A:$A,DATE(2025,9,1))+SUMIFS(qPL_Fact!$D:$D,qPL_Fact!$C:$C,$B56,qPL_Fact!$A:$A,DATE(2025,10,1))+SUMIFS(qPL_Fact!$D:$D,qPL_Fact!$C:$C,$B56,qPL_Fact!$A:$A,DATE(2025,11,1))+SUMIFS(qPL_Fact!$D:$D,qPL_Fact!$C:$C,$B56,qPL_Fact!$A:$A,DATE(2025,12,1))</f>
        <v/>
      </c>
      <c r="J56" s="38">
        <f>SUMIFS(qPL_Fact!$D:$D,qPL_Fact!$C:$C,$B56,qPL_Fact!$A:$A,DATE(2024,8,1))+SUMIFS(qPL_Fact!$D:$D,qPL_Fact!$C:$C,$B56,qPL_Fact!$A:$A,DATE(2024,9,1))+SUMIFS(qPL_Fact!$D:$D,qPL_Fact!$C:$C,$B56,qPL_Fact!$A:$A,DATE(2024,10,1))+SUMIFS(qPL_Fact!$D:$D,qPL_Fact!$C:$C,$B56,qPL_Fact!$A:$A,DATE(2024,11,1))+SUMIFS(qPL_Fact!$D:$D,qPL_Fact!$C:$C,$B56,qPL_Fact!$A:$A,DATE(2024,12,1))+SUMIFS(qPL_Fact!$D:$D,qPL_Fact!$C:$C,$B56,qPL_Fact!$A:$A,DATE(2025,1,1))+SUMIFS(qPL_Fact!$D:$D,qPL_Fact!$C:$C,$B56,qPL_Fact!$A:$A,DATE(2025,2,1))+SUMIFS(qPL_Fact!$D:$D,qPL_Fact!$C:$C,$B56,qPL_Fact!$A:$A,DATE(2025,3,1))+SUMIFS(qPL_Fact!$D:$D,qPL_Fact!$C:$C,$B56,qPL_Fact!$A:$A,DATE(2025,4,1))+SUMIFS(qPL_Fact!$D:$D,qPL_Fact!$C:$C,$B56,qPL_Fact!$A:$A,DATE(2025,5,1))+SUMIFS(qPL_Fact!$D:$D,qPL_Fact!$C:$C,$B56,qPL_Fact!$A:$A,DATE(2025,6,1))+SUMIFS(qPL_Fact!$D:$D,qPL_Fact!$C:$C,$B56,qPL_Fact!$A:$A,DATE(2025,7,1))</f>
        <v/>
      </c>
      <c r="K56" s="38">
        <f>I56-J56</f>
        <v/>
      </c>
    </row>
    <row r="57">
      <c r="A57" s="8" t="inlineStr">
        <is>
          <t>6107</t>
        </is>
      </c>
      <c r="B57" s="10" t="inlineStr">
        <is>
          <t>Travel</t>
        </is>
      </c>
      <c r="C57" s="37">
        <f>SUMIFS(qPL_Fact!$D:$D,qPL_Fact!$C:$C,$B57,qPL_Fact!$A:$A,DATE(2025,12,1))</f>
        <v/>
      </c>
      <c r="D57" s="37">
        <f>SUMIFS(qPL_Fact!$D:$D,qPL_Fact!$C:$C,$B57,qPL_Fact!$A:$A,DATE(2025,11,1))</f>
        <v/>
      </c>
      <c r="E57" s="37">
        <f>C57-D57</f>
        <v/>
      </c>
      <c r="F57" s="37">
        <f>SUMIFS(qPL_Fact!$D:$D,qPL_Fact!$C:$C,$B57,qPL_Fact!$A:$A,DATE(2025,10,1))+SUMIFS(qPL_Fact!$D:$D,qPL_Fact!$C:$C,$B57,qPL_Fact!$A:$A,DATE(2025,11,1))+SUMIFS(qPL_Fact!$D:$D,qPL_Fact!$C:$C,$B57,qPL_Fact!$A:$A,DATE(2025,12,1))</f>
        <v/>
      </c>
      <c r="G57" s="37">
        <f>SUMIFS(qPL_Fact!$D:$D,qPL_Fact!$C:$C,$B57,qPL_Fact!$A:$A,DATE(2025,7,1))+SUMIFS(qPL_Fact!$D:$D,qPL_Fact!$C:$C,$B57,qPL_Fact!$A:$A,DATE(2025,8,1))+SUMIFS(qPL_Fact!$D:$D,qPL_Fact!$C:$C,$B57,qPL_Fact!$A:$A,DATE(2025,9,1))</f>
        <v/>
      </c>
      <c r="H57" s="37">
        <f>F57-G57</f>
        <v/>
      </c>
      <c r="I57" s="37">
        <f>SUMIFS(qPL_Fact!$D:$D,qPL_Fact!$C:$C,$B57,qPL_Fact!$A:$A,DATE(2025,1,1))+SUMIFS(qPL_Fact!$D:$D,qPL_Fact!$C:$C,$B57,qPL_Fact!$A:$A,DATE(2025,2,1))+SUMIFS(qPL_Fact!$D:$D,qPL_Fact!$C:$C,$B57,qPL_Fact!$A:$A,DATE(2025,3,1))+SUMIFS(qPL_Fact!$D:$D,qPL_Fact!$C:$C,$B57,qPL_Fact!$A:$A,DATE(2025,4,1))+SUMIFS(qPL_Fact!$D:$D,qPL_Fact!$C:$C,$B57,qPL_Fact!$A:$A,DATE(2025,5,1))+SUMIFS(qPL_Fact!$D:$D,qPL_Fact!$C:$C,$B57,qPL_Fact!$A:$A,DATE(2025,6,1))+SUMIFS(qPL_Fact!$D:$D,qPL_Fact!$C:$C,$B57,qPL_Fact!$A:$A,DATE(2025,7,1))+SUMIFS(qPL_Fact!$D:$D,qPL_Fact!$C:$C,$B57,qPL_Fact!$A:$A,DATE(2025,8,1))+SUMIFS(qPL_Fact!$D:$D,qPL_Fact!$C:$C,$B57,qPL_Fact!$A:$A,DATE(2025,9,1))+SUMIFS(qPL_Fact!$D:$D,qPL_Fact!$C:$C,$B57,qPL_Fact!$A:$A,DATE(2025,10,1))+SUMIFS(qPL_Fact!$D:$D,qPL_Fact!$C:$C,$B57,qPL_Fact!$A:$A,DATE(2025,11,1))+SUMIFS(qPL_Fact!$D:$D,qPL_Fact!$C:$C,$B57,qPL_Fact!$A:$A,DATE(2025,12,1))</f>
        <v/>
      </c>
      <c r="J57" s="37">
        <f>SUMIFS(qPL_Fact!$D:$D,qPL_Fact!$C:$C,$B57,qPL_Fact!$A:$A,DATE(2024,8,1))+SUMIFS(qPL_Fact!$D:$D,qPL_Fact!$C:$C,$B57,qPL_Fact!$A:$A,DATE(2024,9,1))+SUMIFS(qPL_Fact!$D:$D,qPL_Fact!$C:$C,$B57,qPL_Fact!$A:$A,DATE(2024,10,1))+SUMIFS(qPL_Fact!$D:$D,qPL_Fact!$C:$C,$B57,qPL_Fact!$A:$A,DATE(2024,11,1))+SUMIFS(qPL_Fact!$D:$D,qPL_Fact!$C:$C,$B57,qPL_Fact!$A:$A,DATE(2024,12,1))+SUMIFS(qPL_Fact!$D:$D,qPL_Fact!$C:$C,$B57,qPL_Fact!$A:$A,DATE(2025,1,1))+SUMIFS(qPL_Fact!$D:$D,qPL_Fact!$C:$C,$B57,qPL_Fact!$A:$A,DATE(2025,2,1))+SUMIFS(qPL_Fact!$D:$D,qPL_Fact!$C:$C,$B57,qPL_Fact!$A:$A,DATE(2025,3,1))+SUMIFS(qPL_Fact!$D:$D,qPL_Fact!$C:$C,$B57,qPL_Fact!$A:$A,DATE(2025,4,1))+SUMIFS(qPL_Fact!$D:$D,qPL_Fact!$C:$C,$B57,qPL_Fact!$A:$A,DATE(2025,5,1))+SUMIFS(qPL_Fact!$D:$D,qPL_Fact!$C:$C,$B57,qPL_Fact!$A:$A,DATE(2025,6,1))+SUMIFS(qPL_Fact!$D:$D,qPL_Fact!$C:$C,$B57,qPL_Fact!$A:$A,DATE(2025,7,1))</f>
        <v/>
      </c>
      <c r="K57" s="37">
        <f>I57-J57</f>
        <v/>
      </c>
    </row>
    <row r="58">
      <c r="A58" s="11" t="inlineStr">
        <is>
          <t>6108</t>
        </is>
      </c>
      <c r="B58" s="12" t="inlineStr">
        <is>
          <t>Meals</t>
        </is>
      </c>
      <c r="C58" s="38">
        <f>SUMIFS(qPL_Fact!$D:$D,qPL_Fact!$C:$C,$B58,qPL_Fact!$A:$A,DATE(2025,12,1))</f>
        <v/>
      </c>
      <c r="D58" s="38">
        <f>SUMIFS(qPL_Fact!$D:$D,qPL_Fact!$C:$C,$B58,qPL_Fact!$A:$A,DATE(2025,11,1))</f>
        <v/>
      </c>
      <c r="E58" s="38">
        <f>C58-D58</f>
        <v/>
      </c>
      <c r="F58" s="38">
        <f>SUMIFS(qPL_Fact!$D:$D,qPL_Fact!$C:$C,$B58,qPL_Fact!$A:$A,DATE(2025,10,1))+SUMIFS(qPL_Fact!$D:$D,qPL_Fact!$C:$C,$B58,qPL_Fact!$A:$A,DATE(2025,11,1))+SUMIFS(qPL_Fact!$D:$D,qPL_Fact!$C:$C,$B58,qPL_Fact!$A:$A,DATE(2025,12,1))</f>
        <v/>
      </c>
      <c r="G58" s="38">
        <f>SUMIFS(qPL_Fact!$D:$D,qPL_Fact!$C:$C,$B58,qPL_Fact!$A:$A,DATE(2025,7,1))+SUMIFS(qPL_Fact!$D:$D,qPL_Fact!$C:$C,$B58,qPL_Fact!$A:$A,DATE(2025,8,1))+SUMIFS(qPL_Fact!$D:$D,qPL_Fact!$C:$C,$B58,qPL_Fact!$A:$A,DATE(2025,9,1))</f>
        <v/>
      </c>
      <c r="H58" s="38">
        <f>F58-G58</f>
        <v/>
      </c>
      <c r="I58" s="38">
        <f>SUMIFS(qPL_Fact!$D:$D,qPL_Fact!$C:$C,$B58,qPL_Fact!$A:$A,DATE(2025,1,1))+SUMIFS(qPL_Fact!$D:$D,qPL_Fact!$C:$C,$B58,qPL_Fact!$A:$A,DATE(2025,2,1))+SUMIFS(qPL_Fact!$D:$D,qPL_Fact!$C:$C,$B58,qPL_Fact!$A:$A,DATE(2025,3,1))+SUMIFS(qPL_Fact!$D:$D,qPL_Fact!$C:$C,$B58,qPL_Fact!$A:$A,DATE(2025,4,1))+SUMIFS(qPL_Fact!$D:$D,qPL_Fact!$C:$C,$B58,qPL_Fact!$A:$A,DATE(2025,5,1))+SUMIFS(qPL_Fact!$D:$D,qPL_Fact!$C:$C,$B58,qPL_Fact!$A:$A,DATE(2025,6,1))+SUMIFS(qPL_Fact!$D:$D,qPL_Fact!$C:$C,$B58,qPL_Fact!$A:$A,DATE(2025,7,1))+SUMIFS(qPL_Fact!$D:$D,qPL_Fact!$C:$C,$B58,qPL_Fact!$A:$A,DATE(2025,8,1))+SUMIFS(qPL_Fact!$D:$D,qPL_Fact!$C:$C,$B58,qPL_Fact!$A:$A,DATE(2025,9,1))+SUMIFS(qPL_Fact!$D:$D,qPL_Fact!$C:$C,$B58,qPL_Fact!$A:$A,DATE(2025,10,1))+SUMIFS(qPL_Fact!$D:$D,qPL_Fact!$C:$C,$B58,qPL_Fact!$A:$A,DATE(2025,11,1))+SUMIFS(qPL_Fact!$D:$D,qPL_Fact!$C:$C,$B58,qPL_Fact!$A:$A,DATE(2025,12,1))</f>
        <v/>
      </c>
      <c r="J58" s="38">
        <f>SUMIFS(qPL_Fact!$D:$D,qPL_Fact!$C:$C,$B58,qPL_Fact!$A:$A,DATE(2024,8,1))+SUMIFS(qPL_Fact!$D:$D,qPL_Fact!$C:$C,$B58,qPL_Fact!$A:$A,DATE(2024,9,1))+SUMIFS(qPL_Fact!$D:$D,qPL_Fact!$C:$C,$B58,qPL_Fact!$A:$A,DATE(2024,10,1))+SUMIFS(qPL_Fact!$D:$D,qPL_Fact!$C:$C,$B58,qPL_Fact!$A:$A,DATE(2024,11,1))+SUMIFS(qPL_Fact!$D:$D,qPL_Fact!$C:$C,$B58,qPL_Fact!$A:$A,DATE(2024,12,1))+SUMIFS(qPL_Fact!$D:$D,qPL_Fact!$C:$C,$B58,qPL_Fact!$A:$A,DATE(2025,1,1))+SUMIFS(qPL_Fact!$D:$D,qPL_Fact!$C:$C,$B58,qPL_Fact!$A:$A,DATE(2025,2,1))+SUMIFS(qPL_Fact!$D:$D,qPL_Fact!$C:$C,$B58,qPL_Fact!$A:$A,DATE(2025,3,1))+SUMIFS(qPL_Fact!$D:$D,qPL_Fact!$C:$C,$B58,qPL_Fact!$A:$A,DATE(2025,4,1))+SUMIFS(qPL_Fact!$D:$D,qPL_Fact!$C:$C,$B58,qPL_Fact!$A:$A,DATE(2025,5,1))+SUMIFS(qPL_Fact!$D:$D,qPL_Fact!$C:$C,$B58,qPL_Fact!$A:$A,DATE(2025,6,1))+SUMIFS(qPL_Fact!$D:$D,qPL_Fact!$C:$C,$B58,qPL_Fact!$A:$A,DATE(2025,7,1))</f>
        <v/>
      </c>
      <c r="K58" s="38">
        <f>I58-J58</f>
        <v/>
      </c>
    </row>
    <row r="59">
      <c r="A59" s="8" t="inlineStr">
        <is>
          <t>6179</t>
        </is>
      </c>
      <c r="B59" s="10" t="inlineStr">
        <is>
          <t>Asset Mgmt Fee</t>
        </is>
      </c>
      <c r="C59" s="37">
        <f>SUMIFS(qPL_Fact!$D:$D,qPL_Fact!$C:$C,$B59,qPL_Fact!$A:$A,DATE(2025,12,1))</f>
        <v/>
      </c>
      <c r="D59" s="37">
        <f>SUMIFS(qPL_Fact!$D:$D,qPL_Fact!$C:$C,$B59,qPL_Fact!$A:$A,DATE(2025,11,1))</f>
        <v/>
      </c>
      <c r="E59" s="37">
        <f>C59-D59</f>
        <v/>
      </c>
      <c r="F59" s="37">
        <f>SUMIFS(qPL_Fact!$D:$D,qPL_Fact!$C:$C,$B59,qPL_Fact!$A:$A,DATE(2025,10,1))+SUMIFS(qPL_Fact!$D:$D,qPL_Fact!$C:$C,$B59,qPL_Fact!$A:$A,DATE(2025,11,1))+SUMIFS(qPL_Fact!$D:$D,qPL_Fact!$C:$C,$B59,qPL_Fact!$A:$A,DATE(2025,12,1))</f>
        <v/>
      </c>
      <c r="G59" s="37">
        <f>SUMIFS(qPL_Fact!$D:$D,qPL_Fact!$C:$C,$B59,qPL_Fact!$A:$A,DATE(2025,7,1))+SUMIFS(qPL_Fact!$D:$D,qPL_Fact!$C:$C,$B59,qPL_Fact!$A:$A,DATE(2025,8,1))+SUMIFS(qPL_Fact!$D:$D,qPL_Fact!$C:$C,$B59,qPL_Fact!$A:$A,DATE(2025,9,1))</f>
        <v/>
      </c>
      <c r="H59" s="37">
        <f>F59-G59</f>
        <v/>
      </c>
      <c r="I59" s="37">
        <f>SUMIFS(qPL_Fact!$D:$D,qPL_Fact!$C:$C,$B59,qPL_Fact!$A:$A,DATE(2025,1,1))+SUMIFS(qPL_Fact!$D:$D,qPL_Fact!$C:$C,$B59,qPL_Fact!$A:$A,DATE(2025,2,1))+SUMIFS(qPL_Fact!$D:$D,qPL_Fact!$C:$C,$B59,qPL_Fact!$A:$A,DATE(2025,3,1))+SUMIFS(qPL_Fact!$D:$D,qPL_Fact!$C:$C,$B59,qPL_Fact!$A:$A,DATE(2025,4,1))+SUMIFS(qPL_Fact!$D:$D,qPL_Fact!$C:$C,$B59,qPL_Fact!$A:$A,DATE(2025,5,1))+SUMIFS(qPL_Fact!$D:$D,qPL_Fact!$C:$C,$B59,qPL_Fact!$A:$A,DATE(2025,6,1))+SUMIFS(qPL_Fact!$D:$D,qPL_Fact!$C:$C,$B59,qPL_Fact!$A:$A,DATE(2025,7,1))+SUMIFS(qPL_Fact!$D:$D,qPL_Fact!$C:$C,$B59,qPL_Fact!$A:$A,DATE(2025,8,1))+SUMIFS(qPL_Fact!$D:$D,qPL_Fact!$C:$C,$B59,qPL_Fact!$A:$A,DATE(2025,9,1))+SUMIFS(qPL_Fact!$D:$D,qPL_Fact!$C:$C,$B59,qPL_Fact!$A:$A,DATE(2025,10,1))+SUMIFS(qPL_Fact!$D:$D,qPL_Fact!$C:$C,$B59,qPL_Fact!$A:$A,DATE(2025,11,1))+SUMIFS(qPL_Fact!$D:$D,qPL_Fact!$C:$C,$B59,qPL_Fact!$A:$A,DATE(2025,12,1))</f>
        <v/>
      </c>
      <c r="J59" s="37">
        <f>SUMIFS(qPL_Fact!$D:$D,qPL_Fact!$C:$C,$B59,qPL_Fact!$A:$A,DATE(2024,8,1))+SUMIFS(qPL_Fact!$D:$D,qPL_Fact!$C:$C,$B59,qPL_Fact!$A:$A,DATE(2024,9,1))+SUMIFS(qPL_Fact!$D:$D,qPL_Fact!$C:$C,$B59,qPL_Fact!$A:$A,DATE(2024,10,1))+SUMIFS(qPL_Fact!$D:$D,qPL_Fact!$C:$C,$B59,qPL_Fact!$A:$A,DATE(2024,11,1))+SUMIFS(qPL_Fact!$D:$D,qPL_Fact!$C:$C,$B59,qPL_Fact!$A:$A,DATE(2024,12,1))+SUMIFS(qPL_Fact!$D:$D,qPL_Fact!$C:$C,$B59,qPL_Fact!$A:$A,DATE(2025,1,1))+SUMIFS(qPL_Fact!$D:$D,qPL_Fact!$C:$C,$B59,qPL_Fact!$A:$A,DATE(2025,2,1))+SUMIFS(qPL_Fact!$D:$D,qPL_Fact!$C:$C,$B59,qPL_Fact!$A:$A,DATE(2025,3,1))+SUMIFS(qPL_Fact!$D:$D,qPL_Fact!$C:$C,$B59,qPL_Fact!$A:$A,DATE(2025,4,1))+SUMIFS(qPL_Fact!$D:$D,qPL_Fact!$C:$C,$B59,qPL_Fact!$A:$A,DATE(2025,5,1))+SUMIFS(qPL_Fact!$D:$D,qPL_Fact!$C:$C,$B59,qPL_Fact!$A:$A,DATE(2025,6,1))+SUMIFS(qPL_Fact!$D:$D,qPL_Fact!$C:$C,$B59,qPL_Fact!$A:$A,DATE(2025,7,1))</f>
        <v/>
      </c>
      <c r="K59" s="37">
        <f>I59-J59</f>
        <v/>
      </c>
    </row>
    <row r="60">
      <c r="A60" s="39" t="n"/>
      <c r="B60" s="40" t="inlineStr">
        <is>
          <t>Total Operating Expenses</t>
        </is>
      </c>
      <c r="C60" s="41">
        <f>SUMIFS(qPL_Fact!$D:$D,qPL_Fact!$C:$C,$B60,qPL_Fact!$A:$A,DATE(2025,12,1))</f>
        <v/>
      </c>
      <c r="D60" s="41">
        <f>SUMIFS(qPL_Fact!$D:$D,qPL_Fact!$C:$C,$B60,qPL_Fact!$A:$A,DATE(2025,11,1))</f>
        <v/>
      </c>
      <c r="E60" s="41">
        <f>C60-D60</f>
        <v/>
      </c>
      <c r="F60" s="41">
        <f>SUMIFS(qPL_Fact!$D:$D,qPL_Fact!$C:$C,$B60,qPL_Fact!$A:$A,DATE(2025,10,1))+SUMIFS(qPL_Fact!$D:$D,qPL_Fact!$C:$C,$B60,qPL_Fact!$A:$A,DATE(2025,11,1))+SUMIFS(qPL_Fact!$D:$D,qPL_Fact!$C:$C,$B60,qPL_Fact!$A:$A,DATE(2025,12,1))</f>
        <v/>
      </c>
      <c r="G60" s="41">
        <f>SUMIFS(qPL_Fact!$D:$D,qPL_Fact!$C:$C,$B60,qPL_Fact!$A:$A,DATE(2025,7,1))+SUMIFS(qPL_Fact!$D:$D,qPL_Fact!$C:$C,$B60,qPL_Fact!$A:$A,DATE(2025,8,1))+SUMIFS(qPL_Fact!$D:$D,qPL_Fact!$C:$C,$B60,qPL_Fact!$A:$A,DATE(2025,9,1))</f>
        <v/>
      </c>
      <c r="H60" s="41">
        <f>F60-G60</f>
        <v/>
      </c>
      <c r="I60" s="41">
        <f>SUMIFS(qPL_Fact!$D:$D,qPL_Fact!$C:$C,$B60,qPL_Fact!$A:$A,DATE(2025,1,1))+SUMIFS(qPL_Fact!$D:$D,qPL_Fact!$C:$C,$B60,qPL_Fact!$A:$A,DATE(2025,2,1))+SUMIFS(qPL_Fact!$D:$D,qPL_Fact!$C:$C,$B60,qPL_Fact!$A:$A,DATE(2025,3,1))+SUMIFS(qPL_Fact!$D:$D,qPL_Fact!$C:$C,$B60,qPL_Fact!$A:$A,DATE(2025,4,1))+SUMIFS(qPL_Fact!$D:$D,qPL_Fact!$C:$C,$B60,qPL_Fact!$A:$A,DATE(2025,5,1))+SUMIFS(qPL_Fact!$D:$D,qPL_Fact!$C:$C,$B60,qPL_Fact!$A:$A,DATE(2025,6,1))+SUMIFS(qPL_Fact!$D:$D,qPL_Fact!$C:$C,$B60,qPL_Fact!$A:$A,DATE(2025,7,1))+SUMIFS(qPL_Fact!$D:$D,qPL_Fact!$C:$C,$B60,qPL_Fact!$A:$A,DATE(2025,8,1))+SUMIFS(qPL_Fact!$D:$D,qPL_Fact!$C:$C,$B60,qPL_Fact!$A:$A,DATE(2025,9,1))+SUMIFS(qPL_Fact!$D:$D,qPL_Fact!$C:$C,$B60,qPL_Fact!$A:$A,DATE(2025,10,1))+SUMIFS(qPL_Fact!$D:$D,qPL_Fact!$C:$C,$B60,qPL_Fact!$A:$A,DATE(2025,11,1))+SUMIFS(qPL_Fact!$D:$D,qPL_Fact!$C:$C,$B60,qPL_Fact!$A:$A,DATE(2025,12,1))</f>
        <v/>
      </c>
      <c r="J60" s="41">
        <f>SUMIFS(qPL_Fact!$D:$D,qPL_Fact!$C:$C,$B60,qPL_Fact!$A:$A,DATE(2024,8,1))+SUMIFS(qPL_Fact!$D:$D,qPL_Fact!$C:$C,$B60,qPL_Fact!$A:$A,DATE(2024,9,1))+SUMIFS(qPL_Fact!$D:$D,qPL_Fact!$C:$C,$B60,qPL_Fact!$A:$A,DATE(2024,10,1))+SUMIFS(qPL_Fact!$D:$D,qPL_Fact!$C:$C,$B60,qPL_Fact!$A:$A,DATE(2024,11,1))+SUMIFS(qPL_Fact!$D:$D,qPL_Fact!$C:$C,$B60,qPL_Fact!$A:$A,DATE(2024,12,1))+SUMIFS(qPL_Fact!$D:$D,qPL_Fact!$C:$C,$B60,qPL_Fact!$A:$A,DATE(2025,1,1))+SUMIFS(qPL_Fact!$D:$D,qPL_Fact!$C:$C,$B60,qPL_Fact!$A:$A,DATE(2025,2,1))+SUMIFS(qPL_Fact!$D:$D,qPL_Fact!$C:$C,$B60,qPL_Fact!$A:$A,DATE(2025,3,1))+SUMIFS(qPL_Fact!$D:$D,qPL_Fact!$C:$C,$B60,qPL_Fact!$A:$A,DATE(2025,4,1))+SUMIFS(qPL_Fact!$D:$D,qPL_Fact!$C:$C,$B60,qPL_Fact!$A:$A,DATE(2025,5,1))+SUMIFS(qPL_Fact!$D:$D,qPL_Fact!$C:$C,$B60,qPL_Fact!$A:$A,DATE(2025,6,1))+SUMIFS(qPL_Fact!$D:$D,qPL_Fact!$C:$C,$B60,qPL_Fact!$A:$A,DATE(2025,7,1))</f>
        <v/>
      </c>
      <c r="K60" s="41">
        <f>I60-J60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</row>
    <row r="62">
      <c r="A62" s="42" t="n"/>
      <c r="B62" s="43" t="inlineStr">
        <is>
          <t>NET OPERATING INCOME (NOI)</t>
        </is>
      </c>
      <c r="C62" s="44">
        <f>SUMIFS(qPL_Fact!$D:$D,qPL_Fact!$C:$C,$B62,qPL_Fact!$A:$A,DATE(2025,12,1))</f>
        <v/>
      </c>
      <c r="D62" s="44">
        <f>SUMIFS(qPL_Fact!$D:$D,qPL_Fact!$C:$C,$B62,qPL_Fact!$A:$A,DATE(2025,11,1))</f>
        <v/>
      </c>
      <c r="E62" s="44">
        <f>C62-D62</f>
        <v/>
      </c>
      <c r="F62" s="44">
        <f>SUMIFS(qPL_Fact!$D:$D,qPL_Fact!$C:$C,$B62,qPL_Fact!$A:$A,DATE(2025,10,1))+SUMIFS(qPL_Fact!$D:$D,qPL_Fact!$C:$C,$B62,qPL_Fact!$A:$A,DATE(2025,11,1))+SUMIFS(qPL_Fact!$D:$D,qPL_Fact!$C:$C,$B62,qPL_Fact!$A:$A,DATE(2025,12,1))</f>
        <v/>
      </c>
      <c r="G62" s="44">
        <f>SUMIFS(qPL_Fact!$D:$D,qPL_Fact!$C:$C,$B62,qPL_Fact!$A:$A,DATE(2025,7,1))+SUMIFS(qPL_Fact!$D:$D,qPL_Fact!$C:$C,$B62,qPL_Fact!$A:$A,DATE(2025,8,1))+SUMIFS(qPL_Fact!$D:$D,qPL_Fact!$C:$C,$B62,qPL_Fact!$A:$A,DATE(2025,9,1))</f>
        <v/>
      </c>
      <c r="H62" s="44">
        <f>F62-G62</f>
        <v/>
      </c>
      <c r="I62" s="44">
        <f>SUMIFS(qPL_Fact!$D:$D,qPL_Fact!$C:$C,$B62,qPL_Fact!$A:$A,DATE(2025,1,1))+SUMIFS(qPL_Fact!$D:$D,qPL_Fact!$C:$C,$B62,qPL_Fact!$A:$A,DATE(2025,2,1))+SUMIFS(qPL_Fact!$D:$D,qPL_Fact!$C:$C,$B62,qPL_Fact!$A:$A,DATE(2025,3,1))+SUMIFS(qPL_Fact!$D:$D,qPL_Fact!$C:$C,$B62,qPL_Fact!$A:$A,DATE(2025,4,1))+SUMIFS(qPL_Fact!$D:$D,qPL_Fact!$C:$C,$B62,qPL_Fact!$A:$A,DATE(2025,5,1))+SUMIFS(qPL_Fact!$D:$D,qPL_Fact!$C:$C,$B62,qPL_Fact!$A:$A,DATE(2025,6,1))+SUMIFS(qPL_Fact!$D:$D,qPL_Fact!$C:$C,$B62,qPL_Fact!$A:$A,DATE(2025,7,1))+SUMIFS(qPL_Fact!$D:$D,qPL_Fact!$C:$C,$B62,qPL_Fact!$A:$A,DATE(2025,8,1))+SUMIFS(qPL_Fact!$D:$D,qPL_Fact!$C:$C,$B62,qPL_Fact!$A:$A,DATE(2025,9,1))+SUMIFS(qPL_Fact!$D:$D,qPL_Fact!$C:$C,$B62,qPL_Fact!$A:$A,DATE(2025,10,1))+SUMIFS(qPL_Fact!$D:$D,qPL_Fact!$C:$C,$B62,qPL_Fact!$A:$A,DATE(2025,11,1))+SUMIFS(qPL_Fact!$D:$D,qPL_Fact!$C:$C,$B62,qPL_Fact!$A:$A,DATE(2025,12,1))</f>
        <v/>
      </c>
      <c r="J62" s="44">
        <f>SUMIFS(qPL_Fact!$D:$D,qPL_Fact!$C:$C,$B62,qPL_Fact!$A:$A,DATE(2024,8,1))+SUMIFS(qPL_Fact!$D:$D,qPL_Fact!$C:$C,$B62,qPL_Fact!$A:$A,DATE(2024,9,1))+SUMIFS(qPL_Fact!$D:$D,qPL_Fact!$C:$C,$B62,qPL_Fact!$A:$A,DATE(2024,10,1))+SUMIFS(qPL_Fact!$D:$D,qPL_Fact!$C:$C,$B62,qPL_Fact!$A:$A,DATE(2024,11,1))+SUMIFS(qPL_Fact!$D:$D,qPL_Fact!$C:$C,$B62,qPL_Fact!$A:$A,DATE(2024,12,1))+SUMIFS(qPL_Fact!$D:$D,qPL_Fact!$C:$C,$B62,qPL_Fact!$A:$A,DATE(2025,1,1))+SUMIFS(qPL_Fact!$D:$D,qPL_Fact!$C:$C,$B62,qPL_Fact!$A:$A,DATE(2025,2,1))+SUMIFS(qPL_Fact!$D:$D,qPL_Fact!$C:$C,$B62,qPL_Fact!$A:$A,DATE(2025,3,1))+SUMIFS(qPL_Fact!$D:$D,qPL_Fact!$C:$C,$B62,qPL_Fact!$A:$A,DATE(2025,4,1))+SUMIFS(qPL_Fact!$D:$D,qPL_Fact!$C:$C,$B62,qPL_Fact!$A:$A,DATE(2025,5,1))+SUMIFS(qPL_Fact!$D:$D,qPL_Fact!$C:$C,$B62,qPL_Fact!$A:$A,DATE(2025,6,1))+SUMIFS(qPL_Fact!$D:$D,qPL_Fact!$C:$C,$B62,qPL_Fact!$A:$A,DATE(2025,7,1))</f>
        <v/>
      </c>
      <c r="K62" s="44">
        <f>I62-J62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</row>
    <row r="64" ht="20" customHeight="1">
      <c r="A64" s="6" t="n"/>
      <c r="B64" s="6" t="inlineStr">
        <is>
          <t>DEBT SERVICE</t>
        </is>
      </c>
      <c r="C64" s="36">
        <f>SUMIFS(qPL_Fact!$D:$D,qPL_Fact!$C:$C,$B64,qPL_Fact!$A:$A,DATE(2025,12,1))</f>
        <v/>
      </c>
      <c r="D64" s="36">
        <f>SUMIFS(qPL_Fact!$D:$D,qPL_Fact!$C:$C,$B64,qPL_Fact!$A:$A,DATE(2025,11,1))</f>
        <v/>
      </c>
      <c r="E64" s="36">
        <f>C64-D64</f>
        <v/>
      </c>
      <c r="F64" s="36">
        <f>SUMIFS(qPL_Fact!$D:$D,qPL_Fact!$C:$C,$B64,qPL_Fact!$A:$A,DATE(2025,10,1))+SUMIFS(qPL_Fact!$D:$D,qPL_Fact!$C:$C,$B64,qPL_Fact!$A:$A,DATE(2025,11,1))+SUMIFS(qPL_Fact!$D:$D,qPL_Fact!$C:$C,$B64,qPL_Fact!$A:$A,DATE(2025,12,1))</f>
        <v/>
      </c>
      <c r="G64" s="36">
        <f>SUMIFS(qPL_Fact!$D:$D,qPL_Fact!$C:$C,$B64,qPL_Fact!$A:$A,DATE(2025,7,1))+SUMIFS(qPL_Fact!$D:$D,qPL_Fact!$C:$C,$B64,qPL_Fact!$A:$A,DATE(2025,8,1))+SUMIFS(qPL_Fact!$D:$D,qPL_Fact!$C:$C,$B64,qPL_Fact!$A:$A,DATE(2025,9,1))</f>
        <v/>
      </c>
      <c r="H64" s="36">
        <f>F64-G64</f>
        <v/>
      </c>
      <c r="I64" s="36">
        <f>SUMIFS(qPL_Fact!$D:$D,qPL_Fact!$C:$C,$B64,qPL_Fact!$A:$A,DATE(2025,1,1))+SUMIFS(qPL_Fact!$D:$D,qPL_Fact!$C:$C,$B64,qPL_Fact!$A:$A,DATE(2025,2,1))+SUMIFS(qPL_Fact!$D:$D,qPL_Fact!$C:$C,$B64,qPL_Fact!$A:$A,DATE(2025,3,1))+SUMIFS(qPL_Fact!$D:$D,qPL_Fact!$C:$C,$B64,qPL_Fact!$A:$A,DATE(2025,4,1))+SUMIFS(qPL_Fact!$D:$D,qPL_Fact!$C:$C,$B64,qPL_Fact!$A:$A,DATE(2025,5,1))+SUMIFS(qPL_Fact!$D:$D,qPL_Fact!$C:$C,$B64,qPL_Fact!$A:$A,DATE(2025,6,1))+SUMIFS(qPL_Fact!$D:$D,qPL_Fact!$C:$C,$B64,qPL_Fact!$A:$A,DATE(2025,7,1))+SUMIFS(qPL_Fact!$D:$D,qPL_Fact!$C:$C,$B64,qPL_Fact!$A:$A,DATE(2025,8,1))+SUMIFS(qPL_Fact!$D:$D,qPL_Fact!$C:$C,$B64,qPL_Fact!$A:$A,DATE(2025,9,1))+SUMIFS(qPL_Fact!$D:$D,qPL_Fact!$C:$C,$B64,qPL_Fact!$A:$A,DATE(2025,10,1))+SUMIFS(qPL_Fact!$D:$D,qPL_Fact!$C:$C,$B64,qPL_Fact!$A:$A,DATE(2025,11,1))+SUMIFS(qPL_Fact!$D:$D,qPL_Fact!$C:$C,$B64,qPL_Fact!$A:$A,DATE(2025,12,1))</f>
        <v/>
      </c>
      <c r="J64" s="36">
        <f>SUMIFS(qPL_Fact!$D:$D,qPL_Fact!$C:$C,$B64,qPL_Fact!$A:$A,DATE(2024,8,1))+SUMIFS(qPL_Fact!$D:$D,qPL_Fact!$C:$C,$B64,qPL_Fact!$A:$A,DATE(2024,9,1))+SUMIFS(qPL_Fact!$D:$D,qPL_Fact!$C:$C,$B64,qPL_Fact!$A:$A,DATE(2024,10,1))+SUMIFS(qPL_Fact!$D:$D,qPL_Fact!$C:$C,$B64,qPL_Fact!$A:$A,DATE(2024,11,1))+SUMIFS(qPL_Fact!$D:$D,qPL_Fact!$C:$C,$B64,qPL_Fact!$A:$A,DATE(2024,12,1))+SUMIFS(qPL_Fact!$D:$D,qPL_Fact!$C:$C,$B64,qPL_Fact!$A:$A,DATE(2025,1,1))+SUMIFS(qPL_Fact!$D:$D,qPL_Fact!$C:$C,$B64,qPL_Fact!$A:$A,DATE(2025,2,1))+SUMIFS(qPL_Fact!$D:$D,qPL_Fact!$C:$C,$B64,qPL_Fact!$A:$A,DATE(2025,3,1))+SUMIFS(qPL_Fact!$D:$D,qPL_Fact!$C:$C,$B64,qPL_Fact!$A:$A,DATE(2025,4,1))+SUMIFS(qPL_Fact!$D:$D,qPL_Fact!$C:$C,$B64,qPL_Fact!$A:$A,DATE(2025,5,1))+SUMIFS(qPL_Fact!$D:$D,qPL_Fact!$C:$C,$B64,qPL_Fact!$A:$A,DATE(2025,6,1))+SUMIFS(qPL_Fact!$D:$D,qPL_Fact!$C:$C,$B64,qPL_Fact!$A:$A,DATE(2025,7,1))</f>
        <v/>
      </c>
      <c r="K64" s="36">
        <f>I64-J64</f>
        <v/>
      </c>
    </row>
    <row r="65">
      <c r="A65" s="8" t="inlineStr">
        <is>
          <t>6119</t>
        </is>
      </c>
      <c r="B65" s="10" t="inlineStr">
        <is>
          <t>Principal</t>
        </is>
      </c>
      <c r="C65" s="37">
        <f>SUMIFS(qPL_Fact!$D:$D,qPL_Fact!$C:$C,$B65,qPL_Fact!$A:$A,DATE(2025,12,1))</f>
        <v/>
      </c>
      <c r="D65" s="37">
        <f>SUMIFS(qPL_Fact!$D:$D,qPL_Fact!$C:$C,$B65,qPL_Fact!$A:$A,DATE(2025,11,1))</f>
        <v/>
      </c>
      <c r="E65" s="37">
        <f>C65-D65</f>
        <v/>
      </c>
      <c r="F65" s="37">
        <f>SUMIFS(qPL_Fact!$D:$D,qPL_Fact!$C:$C,$B65,qPL_Fact!$A:$A,DATE(2025,10,1))+SUMIFS(qPL_Fact!$D:$D,qPL_Fact!$C:$C,$B65,qPL_Fact!$A:$A,DATE(2025,11,1))+SUMIFS(qPL_Fact!$D:$D,qPL_Fact!$C:$C,$B65,qPL_Fact!$A:$A,DATE(2025,12,1))</f>
        <v/>
      </c>
      <c r="G65" s="37">
        <f>SUMIFS(qPL_Fact!$D:$D,qPL_Fact!$C:$C,$B65,qPL_Fact!$A:$A,DATE(2025,7,1))+SUMIFS(qPL_Fact!$D:$D,qPL_Fact!$C:$C,$B65,qPL_Fact!$A:$A,DATE(2025,8,1))+SUMIFS(qPL_Fact!$D:$D,qPL_Fact!$C:$C,$B65,qPL_Fact!$A:$A,DATE(2025,9,1))</f>
        <v/>
      </c>
      <c r="H65" s="37">
        <f>F65-G65</f>
        <v/>
      </c>
      <c r="I65" s="37">
        <f>SUMIFS(qPL_Fact!$D:$D,qPL_Fact!$C:$C,$B65,qPL_Fact!$A:$A,DATE(2025,1,1))+SUMIFS(qPL_Fact!$D:$D,qPL_Fact!$C:$C,$B65,qPL_Fact!$A:$A,DATE(2025,2,1))+SUMIFS(qPL_Fact!$D:$D,qPL_Fact!$C:$C,$B65,qPL_Fact!$A:$A,DATE(2025,3,1))+SUMIFS(qPL_Fact!$D:$D,qPL_Fact!$C:$C,$B65,qPL_Fact!$A:$A,DATE(2025,4,1))+SUMIFS(qPL_Fact!$D:$D,qPL_Fact!$C:$C,$B65,qPL_Fact!$A:$A,DATE(2025,5,1))+SUMIFS(qPL_Fact!$D:$D,qPL_Fact!$C:$C,$B65,qPL_Fact!$A:$A,DATE(2025,6,1))+SUMIFS(qPL_Fact!$D:$D,qPL_Fact!$C:$C,$B65,qPL_Fact!$A:$A,DATE(2025,7,1))+SUMIFS(qPL_Fact!$D:$D,qPL_Fact!$C:$C,$B65,qPL_Fact!$A:$A,DATE(2025,8,1))+SUMIFS(qPL_Fact!$D:$D,qPL_Fact!$C:$C,$B65,qPL_Fact!$A:$A,DATE(2025,9,1))+SUMIFS(qPL_Fact!$D:$D,qPL_Fact!$C:$C,$B65,qPL_Fact!$A:$A,DATE(2025,10,1))+SUMIFS(qPL_Fact!$D:$D,qPL_Fact!$C:$C,$B65,qPL_Fact!$A:$A,DATE(2025,11,1))+SUMIFS(qPL_Fact!$D:$D,qPL_Fact!$C:$C,$B65,qPL_Fact!$A:$A,DATE(2025,12,1))</f>
        <v/>
      </c>
      <c r="J65" s="37">
        <f>SUMIFS(qPL_Fact!$D:$D,qPL_Fact!$C:$C,$B65,qPL_Fact!$A:$A,DATE(2024,8,1))+SUMIFS(qPL_Fact!$D:$D,qPL_Fact!$C:$C,$B65,qPL_Fact!$A:$A,DATE(2024,9,1))+SUMIFS(qPL_Fact!$D:$D,qPL_Fact!$C:$C,$B65,qPL_Fact!$A:$A,DATE(2024,10,1))+SUMIFS(qPL_Fact!$D:$D,qPL_Fact!$C:$C,$B65,qPL_Fact!$A:$A,DATE(2024,11,1))+SUMIFS(qPL_Fact!$D:$D,qPL_Fact!$C:$C,$B65,qPL_Fact!$A:$A,DATE(2024,12,1))+SUMIFS(qPL_Fact!$D:$D,qPL_Fact!$C:$C,$B65,qPL_Fact!$A:$A,DATE(2025,1,1))+SUMIFS(qPL_Fact!$D:$D,qPL_Fact!$C:$C,$B65,qPL_Fact!$A:$A,DATE(2025,2,1))+SUMIFS(qPL_Fact!$D:$D,qPL_Fact!$C:$C,$B65,qPL_Fact!$A:$A,DATE(2025,3,1))+SUMIFS(qPL_Fact!$D:$D,qPL_Fact!$C:$C,$B65,qPL_Fact!$A:$A,DATE(2025,4,1))+SUMIFS(qPL_Fact!$D:$D,qPL_Fact!$C:$C,$B65,qPL_Fact!$A:$A,DATE(2025,5,1))+SUMIFS(qPL_Fact!$D:$D,qPL_Fact!$C:$C,$B65,qPL_Fact!$A:$A,DATE(2025,6,1))+SUMIFS(qPL_Fact!$D:$D,qPL_Fact!$C:$C,$B65,qPL_Fact!$A:$A,DATE(2025,7,1))</f>
        <v/>
      </c>
      <c r="K65" s="37">
        <f>I65-J65</f>
        <v/>
      </c>
    </row>
    <row r="66">
      <c r="A66" s="11" t="inlineStr">
        <is>
          <t>6121</t>
        </is>
      </c>
      <c r="B66" s="12" t="inlineStr">
        <is>
          <t>Interest</t>
        </is>
      </c>
      <c r="C66" s="38">
        <f>SUMIFS(qPL_Fact!$D:$D,qPL_Fact!$C:$C,$B66,qPL_Fact!$A:$A,DATE(2025,12,1))</f>
        <v/>
      </c>
      <c r="D66" s="38">
        <f>SUMIFS(qPL_Fact!$D:$D,qPL_Fact!$C:$C,$B66,qPL_Fact!$A:$A,DATE(2025,11,1))</f>
        <v/>
      </c>
      <c r="E66" s="38">
        <f>C66-D66</f>
        <v/>
      </c>
      <c r="F66" s="38">
        <f>SUMIFS(qPL_Fact!$D:$D,qPL_Fact!$C:$C,$B66,qPL_Fact!$A:$A,DATE(2025,10,1))+SUMIFS(qPL_Fact!$D:$D,qPL_Fact!$C:$C,$B66,qPL_Fact!$A:$A,DATE(2025,11,1))+SUMIFS(qPL_Fact!$D:$D,qPL_Fact!$C:$C,$B66,qPL_Fact!$A:$A,DATE(2025,12,1))</f>
        <v/>
      </c>
      <c r="G66" s="38">
        <f>SUMIFS(qPL_Fact!$D:$D,qPL_Fact!$C:$C,$B66,qPL_Fact!$A:$A,DATE(2025,7,1))+SUMIFS(qPL_Fact!$D:$D,qPL_Fact!$C:$C,$B66,qPL_Fact!$A:$A,DATE(2025,8,1))+SUMIFS(qPL_Fact!$D:$D,qPL_Fact!$C:$C,$B66,qPL_Fact!$A:$A,DATE(2025,9,1))</f>
        <v/>
      </c>
      <c r="H66" s="38">
        <f>F66-G66</f>
        <v/>
      </c>
      <c r="I66" s="38">
        <f>SUMIFS(qPL_Fact!$D:$D,qPL_Fact!$C:$C,$B66,qPL_Fact!$A:$A,DATE(2025,1,1))+SUMIFS(qPL_Fact!$D:$D,qPL_Fact!$C:$C,$B66,qPL_Fact!$A:$A,DATE(2025,2,1))+SUMIFS(qPL_Fact!$D:$D,qPL_Fact!$C:$C,$B66,qPL_Fact!$A:$A,DATE(2025,3,1))+SUMIFS(qPL_Fact!$D:$D,qPL_Fact!$C:$C,$B66,qPL_Fact!$A:$A,DATE(2025,4,1))+SUMIFS(qPL_Fact!$D:$D,qPL_Fact!$C:$C,$B66,qPL_Fact!$A:$A,DATE(2025,5,1))+SUMIFS(qPL_Fact!$D:$D,qPL_Fact!$C:$C,$B66,qPL_Fact!$A:$A,DATE(2025,6,1))+SUMIFS(qPL_Fact!$D:$D,qPL_Fact!$C:$C,$B66,qPL_Fact!$A:$A,DATE(2025,7,1))+SUMIFS(qPL_Fact!$D:$D,qPL_Fact!$C:$C,$B66,qPL_Fact!$A:$A,DATE(2025,8,1))+SUMIFS(qPL_Fact!$D:$D,qPL_Fact!$C:$C,$B66,qPL_Fact!$A:$A,DATE(2025,9,1))+SUMIFS(qPL_Fact!$D:$D,qPL_Fact!$C:$C,$B66,qPL_Fact!$A:$A,DATE(2025,10,1))+SUMIFS(qPL_Fact!$D:$D,qPL_Fact!$C:$C,$B66,qPL_Fact!$A:$A,DATE(2025,11,1))+SUMIFS(qPL_Fact!$D:$D,qPL_Fact!$C:$C,$B66,qPL_Fact!$A:$A,DATE(2025,12,1))</f>
        <v/>
      </c>
      <c r="J66" s="38">
        <f>SUMIFS(qPL_Fact!$D:$D,qPL_Fact!$C:$C,$B66,qPL_Fact!$A:$A,DATE(2024,8,1))+SUMIFS(qPL_Fact!$D:$D,qPL_Fact!$C:$C,$B66,qPL_Fact!$A:$A,DATE(2024,9,1))+SUMIFS(qPL_Fact!$D:$D,qPL_Fact!$C:$C,$B66,qPL_Fact!$A:$A,DATE(2024,10,1))+SUMIFS(qPL_Fact!$D:$D,qPL_Fact!$C:$C,$B66,qPL_Fact!$A:$A,DATE(2024,11,1))+SUMIFS(qPL_Fact!$D:$D,qPL_Fact!$C:$C,$B66,qPL_Fact!$A:$A,DATE(2024,12,1))+SUMIFS(qPL_Fact!$D:$D,qPL_Fact!$C:$C,$B66,qPL_Fact!$A:$A,DATE(2025,1,1))+SUMIFS(qPL_Fact!$D:$D,qPL_Fact!$C:$C,$B66,qPL_Fact!$A:$A,DATE(2025,2,1))+SUMIFS(qPL_Fact!$D:$D,qPL_Fact!$C:$C,$B66,qPL_Fact!$A:$A,DATE(2025,3,1))+SUMIFS(qPL_Fact!$D:$D,qPL_Fact!$C:$C,$B66,qPL_Fact!$A:$A,DATE(2025,4,1))+SUMIFS(qPL_Fact!$D:$D,qPL_Fact!$C:$C,$B66,qPL_Fact!$A:$A,DATE(2025,5,1))+SUMIFS(qPL_Fact!$D:$D,qPL_Fact!$C:$C,$B66,qPL_Fact!$A:$A,DATE(2025,6,1))+SUMIFS(qPL_Fact!$D:$D,qPL_Fact!$C:$C,$B66,qPL_Fact!$A:$A,DATE(2025,7,1))</f>
        <v/>
      </c>
      <c r="K66" s="38">
        <f>I66-J66</f>
        <v/>
      </c>
    </row>
    <row r="67">
      <c r="A67" s="39" t="n"/>
      <c r="B67" s="40" t="inlineStr">
        <is>
          <t>Total Debt Service</t>
        </is>
      </c>
      <c r="C67" s="41">
        <f>SUMIFS(qPL_Fact!$D:$D,qPL_Fact!$C:$C,$B67,qPL_Fact!$A:$A,DATE(2025,12,1))</f>
        <v/>
      </c>
      <c r="D67" s="41">
        <f>SUMIFS(qPL_Fact!$D:$D,qPL_Fact!$C:$C,$B67,qPL_Fact!$A:$A,DATE(2025,11,1))</f>
        <v/>
      </c>
      <c r="E67" s="41">
        <f>C67-D67</f>
        <v/>
      </c>
      <c r="F67" s="41">
        <f>SUMIFS(qPL_Fact!$D:$D,qPL_Fact!$C:$C,$B67,qPL_Fact!$A:$A,DATE(2025,10,1))+SUMIFS(qPL_Fact!$D:$D,qPL_Fact!$C:$C,$B67,qPL_Fact!$A:$A,DATE(2025,11,1))+SUMIFS(qPL_Fact!$D:$D,qPL_Fact!$C:$C,$B67,qPL_Fact!$A:$A,DATE(2025,12,1))</f>
        <v/>
      </c>
      <c r="G67" s="41">
        <f>SUMIFS(qPL_Fact!$D:$D,qPL_Fact!$C:$C,$B67,qPL_Fact!$A:$A,DATE(2025,7,1))+SUMIFS(qPL_Fact!$D:$D,qPL_Fact!$C:$C,$B67,qPL_Fact!$A:$A,DATE(2025,8,1))+SUMIFS(qPL_Fact!$D:$D,qPL_Fact!$C:$C,$B67,qPL_Fact!$A:$A,DATE(2025,9,1))</f>
        <v/>
      </c>
      <c r="H67" s="41">
        <f>F67-G67</f>
        <v/>
      </c>
      <c r="I67" s="41">
        <f>SUMIFS(qPL_Fact!$D:$D,qPL_Fact!$C:$C,$B67,qPL_Fact!$A:$A,DATE(2025,1,1))+SUMIFS(qPL_Fact!$D:$D,qPL_Fact!$C:$C,$B67,qPL_Fact!$A:$A,DATE(2025,2,1))+SUMIFS(qPL_Fact!$D:$D,qPL_Fact!$C:$C,$B67,qPL_Fact!$A:$A,DATE(2025,3,1))+SUMIFS(qPL_Fact!$D:$D,qPL_Fact!$C:$C,$B67,qPL_Fact!$A:$A,DATE(2025,4,1))+SUMIFS(qPL_Fact!$D:$D,qPL_Fact!$C:$C,$B67,qPL_Fact!$A:$A,DATE(2025,5,1))+SUMIFS(qPL_Fact!$D:$D,qPL_Fact!$C:$C,$B67,qPL_Fact!$A:$A,DATE(2025,6,1))+SUMIFS(qPL_Fact!$D:$D,qPL_Fact!$C:$C,$B67,qPL_Fact!$A:$A,DATE(2025,7,1))+SUMIFS(qPL_Fact!$D:$D,qPL_Fact!$C:$C,$B67,qPL_Fact!$A:$A,DATE(2025,8,1))+SUMIFS(qPL_Fact!$D:$D,qPL_Fact!$C:$C,$B67,qPL_Fact!$A:$A,DATE(2025,9,1))+SUMIFS(qPL_Fact!$D:$D,qPL_Fact!$C:$C,$B67,qPL_Fact!$A:$A,DATE(2025,10,1))+SUMIFS(qPL_Fact!$D:$D,qPL_Fact!$C:$C,$B67,qPL_Fact!$A:$A,DATE(2025,11,1))+SUMIFS(qPL_Fact!$D:$D,qPL_Fact!$C:$C,$B67,qPL_Fact!$A:$A,DATE(2025,12,1))</f>
        <v/>
      </c>
      <c r="J67" s="41">
        <f>SUMIFS(qPL_Fact!$D:$D,qPL_Fact!$C:$C,$B67,qPL_Fact!$A:$A,DATE(2024,8,1))+SUMIFS(qPL_Fact!$D:$D,qPL_Fact!$C:$C,$B67,qPL_Fact!$A:$A,DATE(2024,9,1))+SUMIFS(qPL_Fact!$D:$D,qPL_Fact!$C:$C,$B67,qPL_Fact!$A:$A,DATE(2024,10,1))+SUMIFS(qPL_Fact!$D:$D,qPL_Fact!$C:$C,$B67,qPL_Fact!$A:$A,DATE(2024,11,1))+SUMIFS(qPL_Fact!$D:$D,qPL_Fact!$C:$C,$B67,qPL_Fact!$A:$A,DATE(2024,12,1))+SUMIFS(qPL_Fact!$D:$D,qPL_Fact!$C:$C,$B67,qPL_Fact!$A:$A,DATE(2025,1,1))+SUMIFS(qPL_Fact!$D:$D,qPL_Fact!$C:$C,$B67,qPL_Fact!$A:$A,DATE(2025,2,1))+SUMIFS(qPL_Fact!$D:$D,qPL_Fact!$C:$C,$B67,qPL_Fact!$A:$A,DATE(2025,3,1))+SUMIFS(qPL_Fact!$D:$D,qPL_Fact!$C:$C,$B67,qPL_Fact!$A:$A,DATE(2025,4,1))+SUMIFS(qPL_Fact!$D:$D,qPL_Fact!$C:$C,$B67,qPL_Fact!$A:$A,DATE(2025,5,1))+SUMIFS(qPL_Fact!$D:$D,qPL_Fact!$C:$C,$B67,qPL_Fact!$A:$A,DATE(2025,6,1))+SUMIFS(qPL_Fact!$D:$D,qPL_Fact!$C:$C,$B67,qPL_Fact!$A:$A,DATE(2025,7,1))</f>
        <v/>
      </c>
      <c r="K67" s="41">
        <f>I67-J67</f>
        <v/>
      </c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</row>
    <row r="69">
      <c r="A69" s="42" t="n"/>
      <c r="B69" s="43" t="inlineStr">
        <is>
          <t>CASH FLOW AFTER DEBT SERVICE</t>
        </is>
      </c>
      <c r="C69" s="44">
        <f>SUMIFS(qPL_Fact!$D:$D,qPL_Fact!$C:$C,$B69,qPL_Fact!$A:$A,DATE(2025,12,1))</f>
        <v/>
      </c>
      <c r="D69" s="44">
        <f>SUMIFS(qPL_Fact!$D:$D,qPL_Fact!$C:$C,$B69,qPL_Fact!$A:$A,DATE(2025,11,1))</f>
        <v/>
      </c>
      <c r="E69" s="44">
        <f>C69-D69</f>
        <v/>
      </c>
      <c r="F69" s="44">
        <f>SUMIFS(qPL_Fact!$D:$D,qPL_Fact!$C:$C,$B69,qPL_Fact!$A:$A,DATE(2025,10,1))+SUMIFS(qPL_Fact!$D:$D,qPL_Fact!$C:$C,$B69,qPL_Fact!$A:$A,DATE(2025,11,1))+SUMIFS(qPL_Fact!$D:$D,qPL_Fact!$C:$C,$B69,qPL_Fact!$A:$A,DATE(2025,12,1))</f>
        <v/>
      </c>
      <c r="G69" s="44">
        <f>SUMIFS(qPL_Fact!$D:$D,qPL_Fact!$C:$C,$B69,qPL_Fact!$A:$A,DATE(2025,7,1))+SUMIFS(qPL_Fact!$D:$D,qPL_Fact!$C:$C,$B69,qPL_Fact!$A:$A,DATE(2025,8,1))+SUMIFS(qPL_Fact!$D:$D,qPL_Fact!$C:$C,$B69,qPL_Fact!$A:$A,DATE(2025,9,1))</f>
        <v/>
      </c>
      <c r="H69" s="44">
        <f>F69-G69</f>
        <v/>
      </c>
      <c r="I69" s="44">
        <f>SUMIFS(qPL_Fact!$D:$D,qPL_Fact!$C:$C,$B69,qPL_Fact!$A:$A,DATE(2025,1,1))+SUMIFS(qPL_Fact!$D:$D,qPL_Fact!$C:$C,$B69,qPL_Fact!$A:$A,DATE(2025,2,1))+SUMIFS(qPL_Fact!$D:$D,qPL_Fact!$C:$C,$B69,qPL_Fact!$A:$A,DATE(2025,3,1))+SUMIFS(qPL_Fact!$D:$D,qPL_Fact!$C:$C,$B69,qPL_Fact!$A:$A,DATE(2025,4,1))+SUMIFS(qPL_Fact!$D:$D,qPL_Fact!$C:$C,$B69,qPL_Fact!$A:$A,DATE(2025,5,1))+SUMIFS(qPL_Fact!$D:$D,qPL_Fact!$C:$C,$B69,qPL_Fact!$A:$A,DATE(2025,6,1))+SUMIFS(qPL_Fact!$D:$D,qPL_Fact!$C:$C,$B69,qPL_Fact!$A:$A,DATE(2025,7,1))+SUMIFS(qPL_Fact!$D:$D,qPL_Fact!$C:$C,$B69,qPL_Fact!$A:$A,DATE(2025,8,1))+SUMIFS(qPL_Fact!$D:$D,qPL_Fact!$C:$C,$B69,qPL_Fact!$A:$A,DATE(2025,9,1))+SUMIFS(qPL_Fact!$D:$D,qPL_Fact!$C:$C,$B69,qPL_Fact!$A:$A,DATE(2025,10,1))+SUMIFS(qPL_Fact!$D:$D,qPL_Fact!$C:$C,$B69,qPL_Fact!$A:$A,DATE(2025,11,1))+SUMIFS(qPL_Fact!$D:$D,qPL_Fact!$C:$C,$B69,qPL_Fact!$A:$A,DATE(2025,12,1))</f>
        <v/>
      </c>
      <c r="J69" s="44">
        <f>SUMIFS(qPL_Fact!$D:$D,qPL_Fact!$C:$C,$B69,qPL_Fact!$A:$A,DATE(2024,8,1))+SUMIFS(qPL_Fact!$D:$D,qPL_Fact!$C:$C,$B69,qPL_Fact!$A:$A,DATE(2024,9,1))+SUMIFS(qPL_Fact!$D:$D,qPL_Fact!$C:$C,$B69,qPL_Fact!$A:$A,DATE(2024,10,1))+SUMIFS(qPL_Fact!$D:$D,qPL_Fact!$C:$C,$B69,qPL_Fact!$A:$A,DATE(2024,11,1))+SUMIFS(qPL_Fact!$D:$D,qPL_Fact!$C:$C,$B69,qPL_Fact!$A:$A,DATE(2024,12,1))+SUMIFS(qPL_Fact!$D:$D,qPL_Fact!$C:$C,$B69,qPL_Fact!$A:$A,DATE(2025,1,1))+SUMIFS(qPL_Fact!$D:$D,qPL_Fact!$C:$C,$B69,qPL_Fact!$A:$A,DATE(2025,2,1))+SUMIFS(qPL_Fact!$D:$D,qPL_Fact!$C:$C,$B69,qPL_Fact!$A:$A,DATE(2025,3,1))+SUMIFS(qPL_Fact!$D:$D,qPL_Fact!$C:$C,$B69,qPL_Fact!$A:$A,DATE(2025,4,1))+SUMIFS(qPL_Fact!$D:$D,qPL_Fact!$C:$C,$B69,qPL_Fact!$A:$A,DATE(2025,5,1))+SUMIFS(qPL_Fact!$D:$D,qPL_Fact!$C:$C,$B69,qPL_Fact!$A:$A,DATE(2025,6,1))+SUMIFS(qPL_Fact!$D:$D,qPL_Fact!$C:$C,$B69,qPL_Fact!$A:$A,DATE(2025,7,1))</f>
        <v/>
      </c>
      <c r="K69" s="44">
        <f>I69-J69</f>
        <v/>
      </c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</row>
    <row r="71" ht="20" customHeight="1">
      <c r="A71" s="6" t="n"/>
      <c r="B71" s="6" t="inlineStr">
        <is>
          <t>CAPITAL EXPENDITURES (Below the Line)</t>
        </is>
      </c>
      <c r="C71" s="36">
        <f>SUMIFS(qPL_Fact!$D:$D,qPL_Fact!$C:$C,$B71,qPL_Fact!$A:$A,DATE(2025,12,1))</f>
        <v/>
      </c>
      <c r="D71" s="36">
        <f>SUMIFS(qPL_Fact!$D:$D,qPL_Fact!$C:$C,$B71,qPL_Fact!$A:$A,DATE(2025,11,1))</f>
        <v/>
      </c>
      <c r="E71" s="36">
        <f>C71-D71</f>
        <v/>
      </c>
      <c r="F71" s="36">
        <f>SUMIFS(qPL_Fact!$D:$D,qPL_Fact!$C:$C,$B71,qPL_Fact!$A:$A,DATE(2025,10,1))+SUMIFS(qPL_Fact!$D:$D,qPL_Fact!$C:$C,$B71,qPL_Fact!$A:$A,DATE(2025,11,1))+SUMIFS(qPL_Fact!$D:$D,qPL_Fact!$C:$C,$B71,qPL_Fact!$A:$A,DATE(2025,12,1))</f>
        <v/>
      </c>
      <c r="G71" s="36">
        <f>SUMIFS(qPL_Fact!$D:$D,qPL_Fact!$C:$C,$B71,qPL_Fact!$A:$A,DATE(2025,7,1))+SUMIFS(qPL_Fact!$D:$D,qPL_Fact!$C:$C,$B71,qPL_Fact!$A:$A,DATE(2025,8,1))+SUMIFS(qPL_Fact!$D:$D,qPL_Fact!$C:$C,$B71,qPL_Fact!$A:$A,DATE(2025,9,1))</f>
        <v/>
      </c>
      <c r="H71" s="36">
        <f>F71-G71</f>
        <v/>
      </c>
      <c r="I71" s="36">
        <f>SUMIFS(qPL_Fact!$D:$D,qPL_Fact!$C:$C,$B71,qPL_Fact!$A:$A,DATE(2025,1,1))+SUMIFS(qPL_Fact!$D:$D,qPL_Fact!$C:$C,$B71,qPL_Fact!$A:$A,DATE(2025,2,1))+SUMIFS(qPL_Fact!$D:$D,qPL_Fact!$C:$C,$B71,qPL_Fact!$A:$A,DATE(2025,3,1))+SUMIFS(qPL_Fact!$D:$D,qPL_Fact!$C:$C,$B71,qPL_Fact!$A:$A,DATE(2025,4,1))+SUMIFS(qPL_Fact!$D:$D,qPL_Fact!$C:$C,$B71,qPL_Fact!$A:$A,DATE(2025,5,1))+SUMIFS(qPL_Fact!$D:$D,qPL_Fact!$C:$C,$B71,qPL_Fact!$A:$A,DATE(2025,6,1))+SUMIFS(qPL_Fact!$D:$D,qPL_Fact!$C:$C,$B71,qPL_Fact!$A:$A,DATE(2025,7,1))+SUMIFS(qPL_Fact!$D:$D,qPL_Fact!$C:$C,$B71,qPL_Fact!$A:$A,DATE(2025,8,1))+SUMIFS(qPL_Fact!$D:$D,qPL_Fact!$C:$C,$B71,qPL_Fact!$A:$A,DATE(2025,9,1))+SUMIFS(qPL_Fact!$D:$D,qPL_Fact!$C:$C,$B71,qPL_Fact!$A:$A,DATE(2025,10,1))+SUMIFS(qPL_Fact!$D:$D,qPL_Fact!$C:$C,$B71,qPL_Fact!$A:$A,DATE(2025,11,1))+SUMIFS(qPL_Fact!$D:$D,qPL_Fact!$C:$C,$B71,qPL_Fact!$A:$A,DATE(2025,12,1))</f>
        <v/>
      </c>
      <c r="J71" s="36">
        <f>SUMIFS(qPL_Fact!$D:$D,qPL_Fact!$C:$C,$B71,qPL_Fact!$A:$A,DATE(2024,8,1))+SUMIFS(qPL_Fact!$D:$D,qPL_Fact!$C:$C,$B71,qPL_Fact!$A:$A,DATE(2024,9,1))+SUMIFS(qPL_Fact!$D:$D,qPL_Fact!$C:$C,$B71,qPL_Fact!$A:$A,DATE(2024,10,1))+SUMIFS(qPL_Fact!$D:$D,qPL_Fact!$C:$C,$B71,qPL_Fact!$A:$A,DATE(2024,11,1))+SUMIFS(qPL_Fact!$D:$D,qPL_Fact!$C:$C,$B71,qPL_Fact!$A:$A,DATE(2024,12,1))+SUMIFS(qPL_Fact!$D:$D,qPL_Fact!$C:$C,$B71,qPL_Fact!$A:$A,DATE(2025,1,1))+SUMIFS(qPL_Fact!$D:$D,qPL_Fact!$C:$C,$B71,qPL_Fact!$A:$A,DATE(2025,2,1))+SUMIFS(qPL_Fact!$D:$D,qPL_Fact!$C:$C,$B71,qPL_Fact!$A:$A,DATE(2025,3,1))+SUMIFS(qPL_Fact!$D:$D,qPL_Fact!$C:$C,$B71,qPL_Fact!$A:$A,DATE(2025,4,1))+SUMIFS(qPL_Fact!$D:$D,qPL_Fact!$C:$C,$B71,qPL_Fact!$A:$A,DATE(2025,5,1))+SUMIFS(qPL_Fact!$D:$D,qPL_Fact!$C:$C,$B71,qPL_Fact!$A:$A,DATE(2025,6,1))+SUMIFS(qPL_Fact!$D:$D,qPL_Fact!$C:$C,$B71,qPL_Fact!$A:$A,DATE(2025,7,1))</f>
        <v/>
      </c>
      <c r="K71" s="36">
        <f>I71-J71</f>
        <v/>
      </c>
    </row>
    <row r="72">
      <c r="A72" s="11" t="inlineStr">
        <is>
          <t>7010</t>
        </is>
      </c>
      <c r="B72" s="12" t="inlineStr">
        <is>
          <t>Appliances</t>
        </is>
      </c>
      <c r="C72" s="38">
        <f>SUMIFS(qPL_Fact!$D:$D,qPL_Fact!$C:$C,$B72,qPL_Fact!$A:$A,DATE(2025,12,1))</f>
        <v/>
      </c>
      <c r="D72" s="38">
        <f>SUMIFS(qPL_Fact!$D:$D,qPL_Fact!$C:$C,$B72,qPL_Fact!$A:$A,DATE(2025,11,1))</f>
        <v/>
      </c>
      <c r="E72" s="38">
        <f>C72-D72</f>
        <v/>
      </c>
      <c r="F72" s="38">
        <f>SUMIFS(qPL_Fact!$D:$D,qPL_Fact!$C:$C,$B72,qPL_Fact!$A:$A,DATE(2025,10,1))+SUMIFS(qPL_Fact!$D:$D,qPL_Fact!$C:$C,$B72,qPL_Fact!$A:$A,DATE(2025,11,1))+SUMIFS(qPL_Fact!$D:$D,qPL_Fact!$C:$C,$B72,qPL_Fact!$A:$A,DATE(2025,12,1))</f>
        <v/>
      </c>
      <c r="G72" s="38">
        <f>SUMIFS(qPL_Fact!$D:$D,qPL_Fact!$C:$C,$B72,qPL_Fact!$A:$A,DATE(2025,7,1))+SUMIFS(qPL_Fact!$D:$D,qPL_Fact!$C:$C,$B72,qPL_Fact!$A:$A,DATE(2025,8,1))+SUMIFS(qPL_Fact!$D:$D,qPL_Fact!$C:$C,$B72,qPL_Fact!$A:$A,DATE(2025,9,1))</f>
        <v/>
      </c>
      <c r="H72" s="38">
        <f>F72-G72</f>
        <v/>
      </c>
      <c r="I72" s="38">
        <f>SUMIFS(qPL_Fact!$D:$D,qPL_Fact!$C:$C,$B72,qPL_Fact!$A:$A,DATE(2025,1,1))+SUMIFS(qPL_Fact!$D:$D,qPL_Fact!$C:$C,$B72,qPL_Fact!$A:$A,DATE(2025,2,1))+SUMIFS(qPL_Fact!$D:$D,qPL_Fact!$C:$C,$B72,qPL_Fact!$A:$A,DATE(2025,3,1))+SUMIFS(qPL_Fact!$D:$D,qPL_Fact!$C:$C,$B72,qPL_Fact!$A:$A,DATE(2025,4,1))+SUMIFS(qPL_Fact!$D:$D,qPL_Fact!$C:$C,$B72,qPL_Fact!$A:$A,DATE(2025,5,1))+SUMIFS(qPL_Fact!$D:$D,qPL_Fact!$C:$C,$B72,qPL_Fact!$A:$A,DATE(2025,6,1))+SUMIFS(qPL_Fact!$D:$D,qPL_Fact!$C:$C,$B72,qPL_Fact!$A:$A,DATE(2025,7,1))+SUMIFS(qPL_Fact!$D:$D,qPL_Fact!$C:$C,$B72,qPL_Fact!$A:$A,DATE(2025,8,1))+SUMIFS(qPL_Fact!$D:$D,qPL_Fact!$C:$C,$B72,qPL_Fact!$A:$A,DATE(2025,9,1))+SUMIFS(qPL_Fact!$D:$D,qPL_Fact!$C:$C,$B72,qPL_Fact!$A:$A,DATE(2025,10,1))+SUMIFS(qPL_Fact!$D:$D,qPL_Fact!$C:$C,$B72,qPL_Fact!$A:$A,DATE(2025,11,1))+SUMIFS(qPL_Fact!$D:$D,qPL_Fact!$C:$C,$B72,qPL_Fact!$A:$A,DATE(2025,12,1))</f>
        <v/>
      </c>
      <c r="J72" s="38">
        <f>SUMIFS(qPL_Fact!$D:$D,qPL_Fact!$C:$C,$B72,qPL_Fact!$A:$A,DATE(2024,8,1))+SUMIFS(qPL_Fact!$D:$D,qPL_Fact!$C:$C,$B72,qPL_Fact!$A:$A,DATE(2024,9,1))+SUMIFS(qPL_Fact!$D:$D,qPL_Fact!$C:$C,$B72,qPL_Fact!$A:$A,DATE(2024,10,1))+SUMIFS(qPL_Fact!$D:$D,qPL_Fact!$C:$C,$B72,qPL_Fact!$A:$A,DATE(2024,11,1))+SUMIFS(qPL_Fact!$D:$D,qPL_Fact!$C:$C,$B72,qPL_Fact!$A:$A,DATE(2024,12,1))+SUMIFS(qPL_Fact!$D:$D,qPL_Fact!$C:$C,$B72,qPL_Fact!$A:$A,DATE(2025,1,1))+SUMIFS(qPL_Fact!$D:$D,qPL_Fact!$C:$C,$B72,qPL_Fact!$A:$A,DATE(2025,2,1))+SUMIFS(qPL_Fact!$D:$D,qPL_Fact!$C:$C,$B72,qPL_Fact!$A:$A,DATE(2025,3,1))+SUMIFS(qPL_Fact!$D:$D,qPL_Fact!$C:$C,$B72,qPL_Fact!$A:$A,DATE(2025,4,1))+SUMIFS(qPL_Fact!$D:$D,qPL_Fact!$C:$C,$B72,qPL_Fact!$A:$A,DATE(2025,5,1))+SUMIFS(qPL_Fact!$D:$D,qPL_Fact!$C:$C,$B72,qPL_Fact!$A:$A,DATE(2025,6,1))+SUMIFS(qPL_Fact!$D:$D,qPL_Fact!$C:$C,$B72,qPL_Fact!$A:$A,DATE(2025,7,1))</f>
        <v/>
      </c>
      <c r="K72" s="38">
        <f>I72-J72</f>
        <v/>
      </c>
    </row>
    <row r="73">
      <c r="A73" s="8" t="inlineStr">
        <is>
          <t>7020</t>
        </is>
      </c>
      <c r="B73" s="10" t="inlineStr">
        <is>
          <t>Equipment/Tools</t>
        </is>
      </c>
      <c r="C73" s="37">
        <f>SUMIFS(qPL_Fact!$D:$D,qPL_Fact!$C:$C,$B73,qPL_Fact!$A:$A,DATE(2025,12,1))</f>
        <v/>
      </c>
      <c r="D73" s="37">
        <f>SUMIFS(qPL_Fact!$D:$D,qPL_Fact!$C:$C,$B73,qPL_Fact!$A:$A,DATE(2025,11,1))</f>
        <v/>
      </c>
      <c r="E73" s="37">
        <f>C73-D73</f>
        <v/>
      </c>
      <c r="F73" s="37">
        <f>SUMIFS(qPL_Fact!$D:$D,qPL_Fact!$C:$C,$B73,qPL_Fact!$A:$A,DATE(2025,10,1))+SUMIFS(qPL_Fact!$D:$D,qPL_Fact!$C:$C,$B73,qPL_Fact!$A:$A,DATE(2025,11,1))+SUMIFS(qPL_Fact!$D:$D,qPL_Fact!$C:$C,$B73,qPL_Fact!$A:$A,DATE(2025,12,1))</f>
        <v/>
      </c>
      <c r="G73" s="37">
        <f>SUMIFS(qPL_Fact!$D:$D,qPL_Fact!$C:$C,$B73,qPL_Fact!$A:$A,DATE(2025,7,1))+SUMIFS(qPL_Fact!$D:$D,qPL_Fact!$C:$C,$B73,qPL_Fact!$A:$A,DATE(2025,8,1))+SUMIFS(qPL_Fact!$D:$D,qPL_Fact!$C:$C,$B73,qPL_Fact!$A:$A,DATE(2025,9,1))</f>
        <v/>
      </c>
      <c r="H73" s="37">
        <f>F73-G73</f>
        <v/>
      </c>
      <c r="I73" s="37">
        <f>SUMIFS(qPL_Fact!$D:$D,qPL_Fact!$C:$C,$B73,qPL_Fact!$A:$A,DATE(2025,1,1))+SUMIFS(qPL_Fact!$D:$D,qPL_Fact!$C:$C,$B73,qPL_Fact!$A:$A,DATE(2025,2,1))+SUMIFS(qPL_Fact!$D:$D,qPL_Fact!$C:$C,$B73,qPL_Fact!$A:$A,DATE(2025,3,1))+SUMIFS(qPL_Fact!$D:$D,qPL_Fact!$C:$C,$B73,qPL_Fact!$A:$A,DATE(2025,4,1))+SUMIFS(qPL_Fact!$D:$D,qPL_Fact!$C:$C,$B73,qPL_Fact!$A:$A,DATE(2025,5,1))+SUMIFS(qPL_Fact!$D:$D,qPL_Fact!$C:$C,$B73,qPL_Fact!$A:$A,DATE(2025,6,1))+SUMIFS(qPL_Fact!$D:$D,qPL_Fact!$C:$C,$B73,qPL_Fact!$A:$A,DATE(2025,7,1))+SUMIFS(qPL_Fact!$D:$D,qPL_Fact!$C:$C,$B73,qPL_Fact!$A:$A,DATE(2025,8,1))+SUMIFS(qPL_Fact!$D:$D,qPL_Fact!$C:$C,$B73,qPL_Fact!$A:$A,DATE(2025,9,1))+SUMIFS(qPL_Fact!$D:$D,qPL_Fact!$C:$C,$B73,qPL_Fact!$A:$A,DATE(2025,10,1))+SUMIFS(qPL_Fact!$D:$D,qPL_Fact!$C:$C,$B73,qPL_Fact!$A:$A,DATE(2025,11,1))+SUMIFS(qPL_Fact!$D:$D,qPL_Fact!$C:$C,$B73,qPL_Fact!$A:$A,DATE(2025,12,1))</f>
        <v/>
      </c>
      <c r="J73" s="37">
        <f>SUMIFS(qPL_Fact!$D:$D,qPL_Fact!$C:$C,$B73,qPL_Fact!$A:$A,DATE(2024,8,1))+SUMIFS(qPL_Fact!$D:$D,qPL_Fact!$C:$C,$B73,qPL_Fact!$A:$A,DATE(2024,9,1))+SUMIFS(qPL_Fact!$D:$D,qPL_Fact!$C:$C,$B73,qPL_Fact!$A:$A,DATE(2024,10,1))+SUMIFS(qPL_Fact!$D:$D,qPL_Fact!$C:$C,$B73,qPL_Fact!$A:$A,DATE(2024,11,1))+SUMIFS(qPL_Fact!$D:$D,qPL_Fact!$C:$C,$B73,qPL_Fact!$A:$A,DATE(2024,12,1))+SUMIFS(qPL_Fact!$D:$D,qPL_Fact!$C:$C,$B73,qPL_Fact!$A:$A,DATE(2025,1,1))+SUMIFS(qPL_Fact!$D:$D,qPL_Fact!$C:$C,$B73,qPL_Fact!$A:$A,DATE(2025,2,1))+SUMIFS(qPL_Fact!$D:$D,qPL_Fact!$C:$C,$B73,qPL_Fact!$A:$A,DATE(2025,3,1))+SUMIFS(qPL_Fact!$D:$D,qPL_Fact!$C:$C,$B73,qPL_Fact!$A:$A,DATE(2025,4,1))+SUMIFS(qPL_Fact!$D:$D,qPL_Fact!$C:$C,$B73,qPL_Fact!$A:$A,DATE(2025,5,1))+SUMIFS(qPL_Fact!$D:$D,qPL_Fact!$C:$C,$B73,qPL_Fact!$A:$A,DATE(2025,6,1))+SUMIFS(qPL_Fact!$D:$D,qPL_Fact!$C:$C,$B73,qPL_Fact!$A:$A,DATE(2025,7,1))</f>
        <v/>
      </c>
      <c r="K73" s="37">
        <f>I73-J73</f>
        <v/>
      </c>
    </row>
    <row r="74">
      <c r="A74" s="11" t="inlineStr">
        <is>
          <t>7030</t>
        </is>
      </c>
      <c r="B74" s="12" t="inlineStr">
        <is>
          <t>Remodel</t>
        </is>
      </c>
      <c r="C74" s="38">
        <f>SUMIFS(qPL_Fact!$D:$D,qPL_Fact!$C:$C,$B74,qPL_Fact!$A:$A,DATE(2025,12,1))</f>
        <v/>
      </c>
      <c r="D74" s="38">
        <f>SUMIFS(qPL_Fact!$D:$D,qPL_Fact!$C:$C,$B74,qPL_Fact!$A:$A,DATE(2025,11,1))</f>
        <v/>
      </c>
      <c r="E74" s="38">
        <f>C74-D74</f>
        <v/>
      </c>
      <c r="F74" s="38">
        <f>SUMIFS(qPL_Fact!$D:$D,qPL_Fact!$C:$C,$B74,qPL_Fact!$A:$A,DATE(2025,10,1))+SUMIFS(qPL_Fact!$D:$D,qPL_Fact!$C:$C,$B74,qPL_Fact!$A:$A,DATE(2025,11,1))+SUMIFS(qPL_Fact!$D:$D,qPL_Fact!$C:$C,$B74,qPL_Fact!$A:$A,DATE(2025,12,1))</f>
        <v/>
      </c>
      <c r="G74" s="38">
        <f>SUMIFS(qPL_Fact!$D:$D,qPL_Fact!$C:$C,$B74,qPL_Fact!$A:$A,DATE(2025,7,1))+SUMIFS(qPL_Fact!$D:$D,qPL_Fact!$C:$C,$B74,qPL_Fact!$A:$A,DATE(2025,8,1))+SUMIFS(qPL_Fact!$D:$D,qPL_Fact!$C:$C,$B74,qPL_Fact!$A:$A,DATE(2025,9,1))</f>
        <v/>
      </c>
      <c r="H74" s="38">
        <f>F74-G74</f>
        <v/>
      </c>
      <c r="I74" s="38">
        <f>SUMIFS(qPL_Fact!$D:$D,qPL_Fact!$C:$C,$B74,qPL_Fact!$A:$A,DATE(2025,1,1))+SUMIFS(qPL_Fact!$D:$D,qPL_Fact!$C:$C,$B74,qPL_Fact!$A:$A,DATE(2025,2,1))+SUMIFS(qPL_Fact!$D:$D,qPL_Fact!$C:$C,$B74,qPL_Fact!$A:$A,DATE(2025,3,1))+SUMIFS(qPL_Fact!$D:$D,qPL_Fact!$C:$C,$B74,qPL_Fact!$A:$A,DATE(2025,4,1))+SUMIFS(qPL_Fact!$D:$D,qPL_Fact!$C:$C,$B74,qPL_Fact!$A:$A,DATE(2025,5,1))+SUMIFS(qPL_Fact!$D:$D,qPL_Fact!$C:$C,$B74,qPL_Fact!$A:$A,DATE(2025,6,1))+SUMIFS(qPL_Fact!$D:$D,qPL_Fact!$C:$C,$B74,qPL_Fact!$A:$A,DATE(2025,7,1))+SUMIFS(qPL_Fact!$D:$D,qPL_Fact!$C:$C,$B74,qPL_Fact!$A:$A,DATE(2025,8,1))+SUMIFS(qPL_Fact!$D:$D,qPL_Fact!$C:$C,$B74,qPL_Fact!$A:$A,DATE(2025,9,1))+SUMIFS(qPL_Fact!$D:$D,qPL_Fact!$C:$C,$B74,qPL_Fact!$A:$A,DATE(2025,10,1))+SUMIFS(qPL_Fact!$D:$D,qPL_Fact!$C:$C,$B74,qPL_Fact!$A:$A,DATE(2025,11,1))+SUMIFS(qPL_Fact!$D:$D,qPL_Fact!$C:$C,$B74,qPL_Fact!$A:$A,DATE(2025,12,1))</f>
        <v/>
      </c>
      <c r="J74" s="38">
        <f>SUMIFS(qPL_Fact!$D:$D,qPL_Fact!$C:$C,$B74,qPL_Fact!$A:$A,DATE(2024,8,1))+SUMIFS(qPL_Fact!$D:$D,qPL_Fact!$C:$C,$B74,qPL_Fact!$A:$A,DATE(2024,9,1))+SUMIFS(qPL_Fact!$D:$D,qPL_Fact!$C:$C,$B74,qPL_Fact!$A:$A,DATE(2024,10,1))+SUMIFS(qPL_Fact!$D:$D,qPL_Fact!$C:$C,$B74,qPL_Fact!$A:$A,DATE(2024,11,1))+SUMIFS(qPL_Fact!$D:$D,qPL_Fact!$C:$C,$B74,qPL_Fact!$A:$A,DATE(2024,12,1))+SUMIFS(qPL_Fact!$D:$D,qPL_Fact!$C:$C,$B74,qPL_Fact!$A:$A,DATE(2025,1,1))+SUMIFS(qPL_Fact!$D:$D,qPL_Fact!$C:$C,$B74,qPL_Fact!$A:$A,DATE(2025,2,1))+SUMIFS(qPL_Fact!$D:$D,qPL_Fact!$C:$C,$B74,qPL_Fact!$A:$A,DATE(2025,3,1))+SUMIFS(qPL_Fact!$D:$D,qPL_Fact!$C:$C,$B74,qPL_Fact!$A:$A,DATE(2025,4,1))+SUMIFS(qPL_Fact!$D:$D,qPL_Fact!$C:$C,$B74,qPL_Fact!$A:$A,DATE(2025,5,1))+SUMIFS(qPL_Fact!$D:$D,qPL_Fact!$C:$C,$B74,qPL_Fact!$A:$A,DATE(2025,6,1))+SUMIFS(qPL_Fact!$D:$D,qPL_Fact!$C:$C,$B74,qPL_Fact!$A:$A,DATE(2025,7,1))</f>
        <v/>
      </c>
      <c r="K74" s="38">
        <f>I74-J74</f>
        <v/>
      </c>
    </row>
    <row r="75">
      <c r="A75" s="8" t="inlineStr">
        <is>
          <t>7060</t>
        </is>
      </c>
      <c r="B75" s="10" t="inlineStr">
        <is>
          <t>Labor</t>
        </is>
      </c>
      <c r="C75" s="37">
        <f>SUMIFS(qPL_Fact!$D:$D,qPL_Fact!$C:$C,$B75,qPL_Fact!$A:$A,DATE(2025,12,1))</f>
        <v/>
      </c>
      <c r="D75" s="37">
        <f>SUMIFS(qPL_Fact!$D:$D,qPL_Fact!$C:$C,$B75,qPL_Fact!$A:$A,DATE(2025,11,1))</f>
        <v/>
      </c>
      <c r="E75" s="37">
        <f>C75-D75</f>
        <v/>
      </c>
      <c r="F75" s="37">
        <f>SUMIFS(qPL_Fact!$D:$D,qPL_Fact!$C:$C,$B75,qPL_Fact!$A:$A,DATE(2025,10,1))+SUMIFS(qPL_Fact!$D:$D,qPL_Fact!$C:$C,$B75,qPL_Fact!$A:$A,DATE(2025,11,1))+SUMIFS(qPL_Fact!$D:$D,qPL_Fact!$C:$C,$B75,qPL_Fact!$A:$A,DATE(2025,12,1))</f>
        <v/>
      </c>
      <c r="G75" s="37">
        <f>SUMIFS(qPL_Fact!$D:$D,qPL_Fact!$C:$C,$B75,qPL_Fact!$A:$A,DATE(2025,7,1))+SUMIFS(qPL_Fact!$D:$D,qPL_Fact!$C:$C,$B75,qPL_Fact!$A:$A,DATE(2025,8,1))+SUMIFS(qPL_Fact!$D:$D,qPL_Fact!$C:$C,$B75,qPL_Fact!$A:$A,DATE(2025,9,1))</f>
        <v/>
      </c>
      <c r="H75" s="37">
        <f>F75-G75</f>
        <v/>
      </c>
      <c r="I75" s="37">
        <f>SUMIFS(qPL_Fact!$D:$D,qPL_Fact!$C:$C,$B75,qPL_Fact!$A:$A,DATE(2025,1,1))+SUMIFS(qPL_Fact!$D:$D,qPL_Fact!$C:$C,$B75,qPL_Fact!$A:$A,DATE(2025,2,1))+SUMIFS(qPL_Fact!$D:$D,qPL_Fact!$C:$C,$B75,qPL_Fact!$A:$A,DATE(2025,3,1))+SUMIFS(qPL_Fact!$D:$D,qPL_Fact!$C:$C,$B75,qPL_Fact!$A:$A,DATE(2025,4,1))+SUMIFS(qPL_Fact!$D:$D,qPL_Fact!$C:$C,$B75,qPL_Fact!$A:$A,DATE(2025,5,1))+SUMIFS(qPL_Fact!$D:$D,qPL_Fact!$C:$C,$B75,qPL_Fact!$A:$A,DATE(2025,6,1))+SUMIFS(qPL_Fact!$D:$D,qPL_Fact!$C:$C,$B75,qPL_Fact!$A:$A,DATE(2025,7,1))+SUMIFS(qPL_Fact!$D:$D,qPL_Fact!$C:$C,$B75,qPL_Fact!$A:$A,DATE(2025,8,1))+SUMIFS(qPL_Fact!$D:$D,qPL_Fact!$C:$C,$B75,qPL_Fact!$A:$A,DATE(2025,9,1))+SUMIFS(qPL_Fact!$D:$D,qPL_Fact!$C:$C,$B75,qPL_Fact!$A:$A,DATE(2025,10,1))+SUMIFS(qPL_Fact!$D:$D,qPL_Fact!$C:$C,$B75,qPL_Fact!$A:$A,DATE(2025,11,1))+SUMIFS(qPL_Fact!$D:$D,qPL_Fact!$C:$C,$B75,qPL_Fact!$A:$A,DATE(2025,12,1))</f>
        <v/>
      </c>
      <c r="J75" s="37">
        <f>SUMIFS(qPL_Fact!$D:$D,qPL_Fact!$C:$C,$B75,qPL_Fact!$A:$A,DATE(2024,8,1))+SUMIFS(qPL_Fact!$D:$D,qPL_Fact!$C:$C,$B75,qPL_Fact!$A:$A,DATE(2024,9,1))+SUMIFS(qPL_Fact!$D:$D,qPL_Fact!$C:$C,$B75,qPL_Fact!$A:$A,DATE(2024,10,1))+SUMIFS(qPL_Fact!$D:$D,qPL_Fact!$C:$C,$B75,qPL_Fact!$A:$A,DATE(2024,11,1))+SUMIFS(qPL_Fact!$D:$D,qPL_Fact!$C:$C,$B75,qPL_Fact!$A:$A,DATE(2024,12,1))+SUMIFS(qPL_Fact!$D:$D,qPL_Fact!$C:$C,$B75,qPL_Fact!$A:$A,DATE(2025,1,1))+SUMIFS(qPL_Fact!$D:$D,qPL_Fact!$C:$C,$B75,qPL_Fact!$A:$A,DATE(2025,2,1))+SUMIFS(qPL_Fact!$D:$D,qPL_Fact!$C:$C,$B75,qPL_Fact!$A:$A,DATE(2025,3,1))+SUMIFS(qPL_Fact!$D:$D,qPL_Fact!$C:$C,$B75,qPL_Fact!$A:$A,DATE(2025,4,1))+SUMIFS(qPL_Fact!$D:$D,qPL_Fact!$C:$C,$B75,qPL_Fact!$A:$A,DATE(2025,5,1))+SUMIFS(qPL_Fact!$D:$D,qPL_Fact!$C:$C,$B75,qPL_Fact!$A:$A,DATE(2025,6,1))+SUMIFS(qPL_Fact!$D:$D,qPL_Fact!$C:$C,$B75,qPL_Fact!$A:$A,DATE(2025,7,1))</f>
        <v/>
      </c>
      <c r="K75" s="37">
        <f>I75-J75</f>
        <v/>
      </c>
    </row>
    <row r="76">
      <c r="A76" s="11" t="inlineStr">
        <is>
          <t>7070</t>
        </is>
      </c>
      <c r="B76" s="12" t="inlineStr">
        <is>
          <t>Flooring</t>
        </is>
      </c>
      <c r="C76" s="38">
        <f>SUMIFS(qPL_Fact!$D:$D,qPL_Fact!$C:$C,$B76,qPL_Fact!$A:$A,DATE(2025,12,1))</f>
        <v/>
      </c>
      <c r="D76" s="38">
        <f>SUMIFS(qPL_Fact!$D:$D,qPL_Fact!$C:$C,$B76,qPL_Fact!$A:$A,DATE(2025,11,1))</f>
        <v/>
      </c>
      <c r="E76" s="38">
        <f>C76-D76</f>
        <v/>
      </c>
      <c r="F76" s="38">
        <f>SUMIFS(qPL_Fact!$D:$D,qPL_Fact!$C:$C,$B76,qPL_Fact!$A:$A,DATE(2025,10,1))+SUMIFS(qPL_Fact!$D:$D,qPL_Fact!$C:$C,$B76,qPL_Fact!$A:$A,DATE(2025,11,1))+SUMIFS(qPL_Fact!$D:$D,qPL_Fact!$C:$C,$B76,qPL_Fact!$A:$A,DATE(2025,12,1))</f>
        <v/>
      </c>
      <c r="G76" s="38">
        <f>SUMIFS(qPL_Fact!$D:$D,qPL_Fact!$C:$C,$B76,qPL_Fact!$A:$A,DATE(2025,7,1))+SUMIFS(qPL_Fact!$D:$D,qPL_Fact!$C:$C,$B76,qPL_Fact!$A:$A,DATE(2025,8,1))+SUMIFS(qPL_Fact!$D:$D,qPL_Fact!$C:$C,$B76,qPL_Fact!$A:$A,DATE(2025,9,1))</f>
        <v/>
      </c>
      <c r="H76" s="38">
        <f>F76-G76</f>
        <v/>
      </c>
      <c r="I76" s="38">
        <f>SUMIFS(qPL_Fact!$D:$D,qPL_Fact!$C:$C,$B76,qPL_Fact!$A:$A,DATE(2025,1,1))+SUMIFS(qPL_Fact!$D:$D,qPL_Fact!$C:$C,$B76,qPL_Fact!$A:$A,DATE(2025,2,1))+SUMIFS(qPL_Fact!$D:$D,qPL_Fact!$C:$C,$B76,qPL_Fact!$A:$A,DATE(2025,3,1))+SUMIFS(qPL_Fact!$D:$D,qPL_Fact!$C:$C,$B76,qPL_Fact!$A:$A,DATE(2025,4,1))+SUMIFS(qPL_Fact!$D:$D,qPL_Fact!$C:$C,$B76,qPL_Fact!$A:$A,DATE(2025,5,1))+SUMIFS(qPL_Fact!$D:$D,qPL_Fact!$C:$C,$B76,qPL_Fact!$A:$A,DATE(2025,6,1))+SUMIFS(qPL_Fact!$D:$D,qPL_Fact!$C:$C,$B76,qPL_Fact!$A:$A,DATE(2025,7,1))+SUMIFS(qPL_Fact!$D:$D,qPL_Fact!$C:$C,$B76,qPL_Fact!$A:$A,DATE(2025,8,1))+SUMIFS(qPL_Fact!$D:$D,qPL_Fact!$C:$C,$B76,qPL_Fact!$A:$A,DATE(2025,9,1))+SUMIFS(qPL_Fact!$D:$D,qPL_Fact!$C:$C,$B76,qPL_Fact!$A:$A,DATE(2025,10,1))+SUMIFS(qPL_Fact!$D:$D,qPL_Fact!$C:$C,$B76,qPL_Fact!$A:$A,DATE(2025,11,1))+SUMIFS(qPL_Fact!$D:$D,qPL_Fact!$C:$C,$B76,qPL_Fact!$A:$A,DATE(2025,12,1))</f>
        <v/>
      </c>
      <c r="J76" s="38">
        <f>SUMIFS(qPL_Fact!$D:$D,qPL_Fact!$C:$C,$B76,qPL_Fact!$A:$A,DATE(2024,8,1))+SUMIFS(qPL_Fact!$D:$D,qPL_Fact!$C:$C,$B76,qPL_Fact!$A:$A,DATE(2024,9,1))+SUMIFS(qPL_Fact!$D:$D,qPL_Fact!$C:$C,$B76,qPL_Fact!$A:$A,DATE(2024,10,1))+SUMIFS(qPL_Fact!$D:$D,qPL_Fact!$C:$C,$B76,qPL_Fact!$A:$A,DATE(2024,11,1))+SUMIFS(qPL_Fact!$D:$D,qPL_Fact!$C:$C,$B76,qPL_Fact!$A:$A,DATE(2024,12,1))+SUMIFS(qPL_Fact!$D:$D,qPL_Fact!$C:$C,$B76,qPL_Fact!$A:$A,DATE(2025,1,1))+SUMIFS(qPL_Fact!$D:$D,qPL_Fact!$C:$C,$B76,qPL_Fact!$A:$A,DATE(2025,2,1))+SUMIFS(qPL_Fact!$D:$D,qPL_Fact!$C:$C,$B76,qPL_Fact!$A:$A,DATE(2025,3,1))+SUMIFS(qPL_Fact!$D:$D,qPL_Fact!$C:$C,$B76,qPL_Fact!$A:$A,DATE(2025,4,1))+SUMIFS(qPL_Fact!$D:$D,qPL_Fact!$C:$C,$B76,qPL_Fact!$A:$A,DATE(2025,5,1))+SUMIFS(qPL_Fact!$D:$D,qPL_Fact!$C:$C,$B76,qPL_Fact!$A:$A,DATE(2025,6,1))+SUMIFS(qPL_Fact!$D:$D,qPL_Fact!$C:$C,$B76,qPL_Fact!$A:$A,DATE(2025,7,1))</f>
        <v/>
      </c>
      <c r="K76" s="38">
        <f>I76-J76</f>
        <v/>
      </c>
    </row>
    <row r="77">
      <c r="A77" s="8" t="inlineStr">
        <is>
          <t>7080</t>
        </is>
      </c>
      <c r="B77" s="10" t="inlineStr">
        <is>
          <t>Hardware</t>
        </is>
      </c>
      <c r="C77" s="37">
        <f>SUMIFS(qPL_Fact!$D:$D,qPL_Fact!$C:$C,$B77,qPL_Fact!$A:$A,DATE(2025,12,1))</f>
        <v/>
      </c>
      <c r="D77" s="37">
        <f>SUMIFS(qPL_Fact!$D:$D,qPL_Fact!$C:$C,$B77,qPL_Fact!$A:$A,DATE(2025,11,1))</f>
        <v/>
      </c>
      <c r="E77" s="37">
        <f>C77-D77</f>
        <v/>
      </c>
      <c r="F77" s="37">
        <f>SUMIFS(qPL_Fact!$D:$D,qPL_Fact!$C:$C,$B77,qPL_Fact!$A:$A,DATE(2025,10,1))+SUMIFS(qPL_Fact!$D:$D,qPL_Fact!$C:$C,$B77,qPL_Fact!$A:$A,DATE(2025,11,1))+SUMIFS(qPL_Fact!$D:$D,qPL_Fact!$C:$C,$B77,qPL_Fact!$A:$A,DATE(2025,12,1))</f>
        <v/>
      </c>
      <c r="G77" s="37">
        <f>SUMIFS(qPL_Fact!$D:$D,qPL_Fact!$C:$C,$B77,qPL_Fact!$A:$A,DATE(2025,7,1))+SUMIFS(qPL_Fact!$D:$D,qPL_Fact!$C:$C,$B77,qPL_Fact!$A:$A,DATE(2025,8,1))+SUMIFS(qPL_Fact!$D:$D,qPL_Fact!$C:$C,$B77,qPL_Fact!$A:$A,DATE(2025,9,1))</f>
        <v/>
      </c>
      <c r="H77" s="37">
        <f>F77-G77</f>
        <v/>
      </c>
      <c r="I77" s="37">
        <f>SUMIFS(qPL_Fact!$D:$D,qPL_Fact!$C:$C,$B77,qPL_Fact!$A:$A,DATE(2025,1,1))+SUMIFS(qPL_Fact!$D:$D,qPL_Fact!$C:$C,$B77,qPL_Fact!$A:$A,DATE(2025,2,1))+SUMIFS(qPL_Fact!$D:$D,qPL_Fact!$C:$C,$B77,qPL_Fact!$A:$A,DATE(2025,3,1))+SUMIFS(qPL_Fact!$D:$D,qPL_Fact!$C:$C,$B77,qPL_Fact!$A:$A,DATE(2025,4,1))+SUMIFS(qPL_Fact!$D:$D,qPL_Fact!$C:$C,$B77,qPL_Fact!$A:$A,DATE(2025,5,1))+SUMIFS(qPL_Fact!$D:$D,qPL_Fact!$C:$C,$B77,qPL_Fact!$A:$A,DATE(2025,6,1))+SUMIFS(qPL_Fact!$D:$D,qPL_Fact!$C:$C,$B77,qPL_Fact!$A:$A,DATE(2025,7,1))+SUMIFS(qPL_Fact!$D:$D,qPL_Fact!$C:$C,$B77,qPL_Fact!$A:$A,DATE(2025,8,1))+SUMIFS(qPL_Fact!$D:$D,qPL_Fact!$C:$C,$B77,qPL_Fact!$A:$A,DATE(2025,9,1))+SUMIFS(qPL_Fact!$D:$D,qPL_Fact!$C:$C,$B77,qPL_Fact!$A:$A,DATE(2025,10,1))+SUMIFS(qPL_Fact!$D:$D,qPL_Fact!$C:$C,$B77,qPL_Fact!$A:$A,DATE(2025,11,1))+SUMIFS(qPL_Fact!$D:$D,qPL_Fact!$C:$C,$B77,qPL_Fact!$A:$A,DATE(2025,12,1))</f>
        <v/>
      </c>
      <c r="J77" s="37">
        <f>SUMIFS(qPL_Fact!$D:$D,qPL_Fact!$C:$C,$B77,qPL_Fact!$A:$A,DATE(2024,8,1))+SUMIFS(qPL_Fact!$D:$D,qPL_Fact!$C:$C,$B77,qPL_Fact!$A:$A,DATE(2024,9,1))+SUMIFS(qPL_Fact!$D:$D,qPL_Fact!$C:$C,$B77,qPL_Fact!$A:$A,DATE(2024,10,1))+SUMIFS(qPL_Fact!$D:$D,qPL_Fact!$C:$C,$B77,qPL_Fact!$A:$A,DATE(2024,11,1))+SUMIFS(qPL_Fact!$D:$D,qPL_Fact!$C:$C,$B77,qPL_Fact!$A:$A,DATE(2024,12,1))+SUMIFS(qPL_Fact!$D:$D,qPL_Fact!$C:$C,$B77,qPL_Fact!$A:$A,DATE(2025,1,1))+SUMIFS(qPL_Fact!$D:$D,qPL_Fact!$C:$C,$B77,qPL_Fact!$A:$A,DATE(2025,2,1))+SUMIFS(qPL_Fact!$D:$D,qPL_Fact!$C:$C,$B77,qPL_Fact!$A:$A,DATE(2025,3,1))+SUMIFS(qPL_Fact!$D:$D,qPL_Fact!$C:$C,$B77,qPL_Fact!$A:$A,DATE(2025,4,1))+SUMIFS(qPL_Fact!$D:$D,qPL_Fact!$C:$C,$B77,qPL_Fact!$A:$A,DATE(2025,5,1))+SUMIFS(qPL_Fact!$D:$D,qPL_Fact!$C:$C,$B77,qPL_Fact!$A:$A,DATE(2025,6,1))+SUMIFS(qPL_Fact!$D:$D,qPL_Fact!$C:$C,$B77,qPL_Fact!$A:$A,DATE(2025,7,1))</f>
        <v/>
      </c>
      <c r="K77" s="37">
        <f>I77-J77</f>
        <v/>
      </c>
    </row>
    <row r="78">
      <c r="A78" s="11" t="inlineStr">
        <is>
          <t>7090</t>
        </is>
      </c>
      <c r="B78" s="12" t="inlineStr">
        <is>
          <t>Cabinets</t>
        </is>
      </c>
      <c r="C78" s="38">
        <f>SUMIFS(qPL_Fact!$D:$D,qPL_Fact!$C:$C,$B78,qPL_Fact!$A:$A,DATE(2025,12,1))</f>
        <v/>
      </c>
      <c r="D78" s="38">
        <f>SUMIFS(qPL_Fact!$D:$D,qPL_Fact!$C:$C,$B78,qPL_Fact!$A:$A,DATE(2025,11,1))</f>
        <v/>
      </c>
      <c r="E78" s="38">
        <f>C78-D78</f>
        <v/>
      </c>
      <c r="F78" s="38">
        <f>SUMIFS(qPL_Fact!$D:$D,qPL_Fact!$C:$C,$B78,qPL_Fact!$A:$A,DATE(2025,10,1))+SUMIFS(qPL_Fact!$D:$D,qPL_Fact!$C:$C,$B78,qPL_Fact!$A:$A,DATE(2025,11,1))+SUMIFS(qPL_Fact!$D:$D,qPL_Fact!$C:$C,$B78,qPL_Fact!$A:$A,DATE(2025,12,1))</f>
        <v/>
      </c>
      <c r="G78" s="38">
        <f>SUMIFS(qPL_Fact!$D:$D,qPL_Fact!$C:$C,$B78,qPL_Fact!$A:$A,DATE(2025,7,1))+SUMIFS(qPL_Fact!$D:$D,qPL_Fact!$C:$C,$B78,qPL_Fact!$A:$A,DATE(2025,8,1))+SUMIFS(qPL_Fact!$D:$D,qPL_Fact!$C:$C,$B78,qPL_Fact!$A:$A,DATE(2025,9,1))</f>
        <v/>
      </c>
      <c r="H78" s="38">
        <f>F78-G78</f>
        <v/>
      </c>
      <c r="I78" s="38">
        <f>SUMIFS(qPL_Fact!$D:$D,qPL_Fact!$C:$C,$B78,qPL_Fact!$A:$A,DATE(2025,1,1))+SUMIFS(qPL_Fact!$D:$D,qPL_Fact!$C:$C,$B78,qPL_Fact!$A:$A,DATE(2025,2,1))+SUMIFS(qPL_Fact!$D:$D,qPL_Fact!$C:$C,$B78,qPL_Fact!$A:$A,DATE(2025,3,1))+SUMIFS(qPL_Fact!$D:$D,qPL_Fact!$C:$C,$B78,qPL_Fact!$A:$A,DATE(2025,4,1))+SUMIFS(qPL_Fact!$D:$D,qPL_Fact!$C:$C,$B78,qPL_Fact!$A:$A,DATE(2025,5,1))+SUMIFS(qPL_Fact!$D:$D,qPL_Fact!$C:$C,$B78,qPL_Fact!$A:$A,DATE(2025,6,1))+SUMIFS(qPL_Fact!$D:$D,qPL_Fact!$C:$C,$B78,qPL_Fact!$A:$A,DATE(2025,7,1))+SUMIFS(qPL_Fact!$D:$D,qPL_Fact!$C:$C,$B78,qPL_Fact!$A:$A,DATE(2025,8,1))+SUMIFS(qPL_Fact!$D:$D,qPL_Fact!$C:$C,$B78,qPL_Fact!$A:$A,DATE(2025,9,1))+SUMIFS(qPL_Fact!$D:$D,qPL_Fact!$C:$C,$B78,qPL_Fact!$A:$A,DATE(2025,10,1))+SUMIFS(qPL_Fact!$D:$D,qPL_Fact!$C:$C,$B78,qPL_Fact!$A:$A,DATE(2025,11,1))+SUMIFS(qPL_Fact!$D:$D,qPL_Fact!$C:$C,$B78,qPL_Fact!$A:$A,DATE(2025,12,1))</f>
        <v/>
      </c>
      <c r="J78" s="38">
        <f>SUMIFS(qPL_Fact!$D:$D,qPL_Fact!$C:$C,$B78,qPL_Fact!$A:$A,DATE(2024,8,1))+SUMIFS(qPL_Fact!$D:$D,qPL_Fact!$C:$C,$B78,qPL_Fact!$A:$A,DATE(2024,9,1))+SUMIFS(qPL_Fact!$D:$D,qPL_Fact!$C:$C,$B78,qPL_Fact!$A:$A,DATE(2024,10,1))+SUMIFS(qPL_Fact!$D:$D,qPL_Fact!$C:$C,$B78,qPL_Fact!$A:$A,DATE(2024,11,1))+SUMIFS(qPL_Fact!$D:$D,qPL_Fact!$C:$C,$B78,qPL_Fact!$A:$A,DATE(2024,12,1))+SUMIFS(qPL_Fact!$D:$D,qPL_Fact!$C:$C,$B78,qPL_Fact!$A:$A,DATE(2025,1,1))+SUMIFS(qPL_Fact!$D:$D,qPL_Fact!$C:$C,$B78,qPL_Fact!$A:$A,DATE(2025,2,1))+SUMIFS(qPL_Fact!$D:$D,qPL_Fact!$C:$C,$B78,qPL_Fact!$A:$A,DATE(2025,3,1))+SUMIFS(qPL_Fact!$D:$D,qPL_Fact!$C:$C,$B78,qPL_Fact!$A:$A,DATE(2025,4,1))+SUMIFS(qPL_Fact!$D:$D,qPL_Fact!$C:$C,$B78,qPL_Fact!$A:$A,DATE(2025,5,1))+SUMIFS(qPL_Fact!$D:$D,qPL_Fact!$C:$C,$B78,qPL_Fact!$A:$A,DATE(2025,6,1))+SUMIFS(qPL_Fact!$D:$D,qPL_Fact!$C:$C,$B78,qPL_Fact!$A:$A,DATE(2025,7,1))</f>
        <v/>
      </c>
      <c r="K78" s="38">
        <f>I78-J78</f>
        <v/>
      </c>
    </row>
    <row r="79">
      <c r="A79" s="8" t="inlineStr">
        <is>
          <t>7100</t>
        </is>
      </c>
      <c r="B79" s="10" t="inlineStr">
        <is>
          <t>Supplies</t>
        </is>
      </c>
      <c r="C79" s="37">
        <f>SUMIFS(qPL_Fact!$D:$D,qPL_Fact!$C:$C,$B79,qPL_Fact!$A:$A,DATE(2025,12,1))</f>
        <v/>
      </c>
      <c r="D79" s="37">
        <f>SUMIFS(qPL_Fact!$D:$D,qPL_Fact!$C:$C,$B79,qPL_Fact!$A:$A,DATE(2025,11,1))</f>
        <v/>
      </c>
      <c r="E79" s="37">
        <f>C79-D79</f>
        <v/>
      </c>
      <c r="F79" s="37">
        <f>SUMIFS(qPL_Fact!$D:$D,qPL_Fact!$C:$C,$B79,qPL_Fact!$A:$A,DATE(2025,10,1))+SUMIFS(qPL_Fact!$D:$D,qPL_Fact!$C:$C,$B79,qPL_Fact!$A:$A,DATE(2025,11,1))+SUMIFS(qPL_Fact!$D:$D,qPL_Fact!$C:$C,$B79,qPL_Fact!$A:$A,DATE(2025,12,1))</f>
        <v/>
      </c>
      <c r="G79" s="37">
        <f>SUMIFS(qPL_Fact!$D:$D,qPL_Fact!$C:$C,$B79,qPL_Fact!$A:$A,DATE(2025,7,1))+SUMIFS(qPL_Fact!$D:$D,qPL_Fact!$C:$C,$B79,qPL_Fact!$A:$A,DATE(2025,8,1))+SUMIFS(qPL_Fact!$D:$D,qPL_Fact!$C:$C,$B79,qPL_Fact!$A:$A,DATE(2025,9,1))</f>
        <v/>
      </c>
      <c r="H79" s="37">
        <f>F79-G79</f>
        <v/>
      </c>
      <c r="I79" s="37">
        <f>SUMIFS(qPL_Fact!$D:$D,qPL_Fact!$C:$C,$B79,qPL_Fact!$A:$A,DATE(2025,1,1))+SUMIFS(qPL_Fact!$D:$D,qPL_Fact!$C:$C,$B79,qPL_Fact!$A:$A,DATE(2025,2,1))+SUMIFS(qPL_Fact!$D:$D,qPL_Fact!$C:$C,$B79,qPL_Fact!$A:$A,DATE(2025,3,1))+SUMIFS(qPL_Fact!$D:$D,qPL_Fact!$C:$C,$B79,qPL_Fact!$A:$A,DATE(2025,4,1))+SUMIFS(qPL_Fact!$D:$D,qPL_Fact!$C:$C,$B79,qPL_Fact!$A:$A,DATE(2025,5,1))+SUMIFS(qPL_Fact!$D:$D,qPL_Fact!$C:$C,$B79,qPL_Fact!$A:$A,DATE(2025,6,1))+SUMIFS(qPL_Fact!$D:$D,qPL_Fact!$C:$C,$B79,qPL_Fact!$A:$A,DATE(2025,7,1))+SUMIFS(qPL_Fact!$D:$D,qPL_Fact!$C:$C,$B79,qPL_Fact!$A:$A,DATE(2025,8,1))+SUMIFS(qPL_Fact!$D:$D,qPL_Fact!$C:$C,$B79,qPL_Fact!$A:$A,DATE(2025,9,1))+SUMIFS(qPL_Fact!$D:$D,qPL_Fact!$C:$C,$B79,qPL_Fact!$A:$A,DATE(2025,10,1))+SUMIFS(qPL_Fact!$D:$D,qPL_Fact!$C:$C,$B79,qPL_Fact!$A:$A,DATE(2025,11,1))+SUMIFS(qPL_Fact!$D:$D,qPL_Fact!$C:$C,$B79,qPL_Fact!$A:$A,DATE(2025,12,1))</f>
        <v/>
      </c>
      <c r="J79" s="37">
        <f>SUMIFS(qPL_Fact!$D:$D,qPL_Fact!$C:$C,$B79,qPL_Fact!$A:$A,DATE(2024,8,1))+SUMIFS(qPL_Fact!$D:$D,qPL_Fact!$C:$C,$B79,qPL_Fact!$A:$A,DATE(2024,9,1))+SUMIFS(qPL_Fact!$D:$D,qPL_Fact!$C:$C,$B79,qPL_Fact!$A:$A,DATE(2024,10,1))+SUMIFS(qPL_Fact!$D:$D,qPL_Fact!$C:$C,$B79,qPL_Fact!$A:$A,DATE(2024,11,1))+SUMIFS(qPL_Fact!$D:$D,qPL_Fact!$C:$C,$B79,qPL_Fact!$A:$A,DATE(2024,12,1))+SUMIFS(qPL_Fact!$D:$D,qPL_Fact!$C:$C,$B79,qPL_Fact!$A:$A,DATE(2025,1,1))+SUMIFS(qPL_Fact!$D:$D,qPL_Fact!$C:$C,$B79,qPL_Fact!$A:$A,DATE(2025,2,1))+SUMIFS(qPL_Fact!$D:$D,qPL_Fact!$C:$C,$B79,qPL_Fact!$A:$A,DATE(2025,3,1))+SUMIFS(qPL_Fact!$D:$D,qPL_Fact!$C:$C,$B79,qPL_Fact!$A:$A,DATE(2025,4,1))+SUMIFS(qPL_Fact!$D:$D,qPL_Fact!$C:$C,$B79,qPL_Fact!$A:$A,DATE(2025,5,1))+SUMIFS(qPL_Fact!$D:$D,qPL_Fact!$C:$C,$B79,qPL_Fact!$A:$A,DATE(2025,6,1))+SUMIFS(qPL_Fact!$D:$D,qPL_Fact!$C:$C,$B79,qPL_Fact!$A:$A,DATE(2025,7,1))</f>
        <v/>
      </c>
      <c r="K79" s="37">
        <f>I79-J79</f>
        <v/>
      </c>
    </row>
    <row r="80">
      <c r="A80" s="11" t="inlineStr">
        <is>
          <t>7110</t>
        </is>
      </c>
      <c r="B80" s="12" t="inlineStr">
        <is>
          <t>Paint</t>
        </is>
      </c>
      <c r="C80" s="38">
        <f>SUMIFS(qPL_Fact!$D:$D,qPL_Fact!$C:$C,$B80,qPL_Fact!$A:$A,DATE(2025,12,1))</f>
        <v/>
      </c>
      <c r="D80" s="38">
        <f>SUMIFS(qPL_Fact!$D:$D,qPL_Fact!$C:$C,$B80,qPL_Fact!$A:$A,DATE(2025,11,1))</f>
        <v/>
      </c>
      <c r="E80" s="38">
        <f>C80-D80</f>
        <v/>
      </c>
      <c r="F80" s="38">
        <f>SUMIFS(qPL_Fact!$D:$D,qPL_Fact!$C:$C,$B80,qPL_Fact!$A:$A,DATE(2025,10,1))+SUMIFS(qPL_Fact!$D:$D,qPL_Fact!$C:$C,$B80,qPL_Fact!$A:$A,DATE(2025,11,1))+SUMIFS(qPL_Fact!$D:$D,qPL_Fact!$C:$C,$B80,qPL_Fact!$A:$A,DATE(2025,12,1))</f>
        <v/>
      </c>
      <c r="G80" s="38">
        <f>SUMIFS(qPL_Fact!$D:$D,qPL_Fact!$C:$C,$B80,qPL_Fact!$A:$A,DATE(2025,7,1))+SUMIFS(qPL_Fact!$D:$D,qPL_Fact!$C:$C,$B80,qPL_Fact!$A:$A,DATE(2025,8,1))+SUMIFS(qPL_Fact!$D:$D,qPL_Fact!$C:$C,$B80,qPL_Fact!$A:$A,DATE(2025,9,1))</f>
        <v/>
      </c>
      <c r="H80" s="38">
        <f>F80-G80</f>
        <v/>
      </c>
      <c r="I80" s="38">
        <f>SUMIFS(qPL_Fact!$D:$D,qPL_Fact!$C:$C,$B80,qPL_Fact!$A:$A,DATE(2025,1,1))+SUMIFS(qPL_Fact!$D:$D,qPL_Fact!$C:$C,$B80,qPL_Fact!$A:$A,DATE(2025,2,1))+SUMIFS(qPL_Fact!$D:$D,qPL_Fact!$C:$C,$B80,qPL_Fact!$A:$A,DATE(2025,3,1))+SUMIFS(qPL_Fact!$D:$D,qPL_Fact!$C:$C,$B80,qPL_Fact!$A:$A,DATE(2025,4,1))+SUMIFS(qPL_Fact!$D:$D,qPL_Fact!$C:$C,$B80,qPL_Fact!$A:$A,DATE(2025,5,1))+SUMIFS(qPL_Fact!$D:$D,qPL_Fact!$C:$C,$B80,qPL_Fact!$A:$A,DATE(2025,6,1))+SUMIFS(qPL_Fact!$D:$D,qPL_Fact!$C:$C,$B80,qPL_Fact!$A:$A,DATE(2025,7,1))+SUMIFS(qPL_Fact!$D:$D,qPL_Fact!$C:$C,$B80,qPL_Fact!$A:$A,DATE(2025,8,1))+SUMIFS(qPL_Fact!$D:$D,qPL_Fact!$C:$C,$B80,qPL_Fact!$A:$A,DATE(2025,9,1))+SUMIFS(qPL_Fact!$D:$D,qPL_Fact!$C:$C,$B80,qPL_Fact!$A:$A,DATE(2025,10,1))+SUMIFS(qPL_Fact!$D:$D,qPL_Fact!$C:$C,$B80,qPL_Fact!$A:$A,DATE(2025,11,1))+SUMIFS(qPL_Fact!$D:$D,qPL_Fact!$C:$C,$B80,qPL_Fact!$A:$A,DATE(2025,12,1))</f>
        <v/>
      </c>
      <c r="J80" s="38">
        <f>SUMIFS(qPL_Fact!$D:$D,qPL_Fact!$C:$C,$B80,qPL_Fact!$A:$A,DATE(2024,8,1))+SUMIFS(qPL_Fact!$D:$D,qPL_Fact!$C:$C,$B80,qPL_Fact!$A:$A,DATE(2024,9,1))+SUMIFS(qPL_Fact!$D:$D,qPL_Fact!$C:$C,$B80,qPL_Fact!$A:$A,DATE(2024,10,1))+SUMIFS(qPL_Fact!$D:$D,qPL_Fact!$C:$C,$B80,qPL_Fact!$A:$A,DATE(2024,11,1))+SUMIFS(qPL_Fact!$D:$D,qPL_Fact!$C:$C,$B80,qPL_Fact!$A:$A,DATE(2024,12,1))+SUMIFS(qPL_Fact!$D:$D,qPL_Fact!$C:$C,$B80,qPL_Fact!$A:$A,DATE(2025,1,1))+SUMIFS(qPL_Fact!$D:$D,qPL_Fact!$C:$C,$B80,qPL_Fact!$A:$A,DATE(2025,2,1))+SUMIFS(qPL_Fact!$D:$D,qPL_Fact!$C:$C,$B80,qPL_Fact!$A:$A,DATE(2025,3,1))+SUMIFS(qPL_Fact!$D:$D,qPL_Fact!$C:$C,$B80,qPL_Fact!$A:$A,DATE(2025,4,1))+SUMIFS(qPL_Fact!$D:$D,qPL_Fact!$C:$C,$B80,qPL_Fact!$A:$A,DATE(2025,5,1))+SUMIFS(qPL_Fact!$D:$D,qPL_Fact!$C:$C,$B80,qPL_Fact!$A:$A,DATE(2025,6,1))+SUMIFS(qPL_Fact!$D:$D,qPL_Fact!$C:$C,$B80,qPL_Fact!$A:$A,DATE(2025,7,1))</f>
        <v/>
      </c>
      <c r="K80" s="38">
        <f>I80-J80</f>
        <v/>
      </c>
    </row>
    <row r="81">
      <c r="A81" s="39" t="n"/>
      <c r="B81" s="40" t="inlineStr">
        <is>
          <t>Total Capital Expenditures</t>
        </is>
      </c>
      <c r="C81" s="41">
        <f>SUMIFS(qPL_Fact!$D:$D,qPL_Fact!$C:$C,$B81,qPL_Fact!$A:$A,DATE(2025,12,1))</f>
        <v/>
      </c>
      <c r="D81" s="41">
        <f>SUMIFS(qPL_Fact!$D:$D,qPL_Fact!$C:$C,$B81,qPL_Fact!$A:$A,DATE(2025,11,1))</f>
        <v/>
      </c>
      <c r="E81" s="41">
        <f>C81-D81</f>
        <v/>
      </c>
      <c r="F81" s="41">
        <f>SUMIFS(qPL_Fact!$D:$D,qPL_Fact!$C:$C,$B81,qPL_Fact!$A:$A,DATE(2025,10,1))+SUMIFS(qPL_Fact!$D:$D,qPL_Fact!$C:$C,$B81,qPL_Fact!$A:$A,DATE(2025,11,1))+SUMIFS(qPL_Fact!$D:$D,qPL_Fact!$C:$C,$B81,qPL_Fact!$A:$A,DATE(2025,12,1))</f>
        <v/>
      </c>
      <c r="G81" s="41">
        <f>SUMIFS(qPL_Fact!$D:$D,qPL_Fact!$C:$C,$B81,qPL_Fact!$A:$A,DATE(2025,7,1))+SUMIFS(qPL_Fact!$D:$D,qPL_Fact!$C:$C,$B81,qPL_Fact!$A:$A,DATE(2025,8,1))+SUMIFS(qPL_Fact!$D:$D,qPL_Fact!$C:$C,$B81,qPL_Fact!$A:$A,DATE(2025,9,1))</f>
        <v/>
      </c>
      <c r="H81" s="41">
        <f>F81-G81</f>
        <v/>
      </c>
      <c r="I81" s="41">
        <f>SUMIFS(qPL_Fact!$D:$D,qPL_Fact!$C:$C,$B81,qPL_Fact!$A:$A,DATE(2025,1,1))+SUMIFS(qPL_Fact!$D:$D,qPL_Fact!$C:$C,$B81,qPL_Fact!$A:$A,DATE(2025,2,1))+SUMIFS(qPL_Fact!$D:$D,qPL_Fact!$C:$C,$B81,qPL_Fact!$A:$A,DATE(2025,3,1))+SUMIFS(qPL_Fact!$D:$D,qPL_Fact!$C:$C,$B81,qPL_Fact!$A:$A,DATE(2025,4,1))+SUMIFS(qPL_Fact!$D:$D,qPL_Fact!$C:$C,$B81,qPL_Fact!$A:$A,DATE(2025,5,1))+SUMIFS(qPL_Fact!$D:$D,qPL_Fact!$C:$C,$B81,qPL_Fact!$A:$A,DATE(2025,6,1))+SUMIFS(qPL_Fact!$D:$D,qPL_Fact!$C:$C,$B81,qPL_Fact!$A:$A,DATE(2025,7,1))+SUMIFS(qPL_Fact!$D:$D,qPL_Fact!$C:$C,$B81,qPL_Fact!$A:$A,DATE(2025,8,1))+SUMIFS(qPL_Fact!$D:$D,qPL_Fact!$C:$C,$B81,qPL_Fact!$A:$A,DATE(2025,9,1))+SUMIFS(qPL_Fact!$D:$D,qPL_Fact!$C:$C,$B81,qPL_Fact!$A:$A,DATE(2025,10,1))+SUMIFS(qPL_Fact!$D:$D,qPL_Fact!$C:$C,$B81,qPL_Fact!$A:$A,DATE(2025,11,1))+SUMIFS(qPL_Fact!$D:$D,qPL_Fact!$C:$C,$B81,qPL_Fact!$A:$A,DATE(2025,12,1))</f>
        <v/>
      </c>
      <c r="J81" s="41">
        <f>SUMIFS(qPL_Fact!$D:$D,qPL_Fact!$C:$C,$B81,qPL_Fact!$A:$A,DATE(2024,8,1))+SUMIFS(qPL_Fact!$D:$D,qPL_Fact!$C:$C,$B81,qPL_Fact!$A:$A,DATE(2024,9,1))+SUMIFS(qPL_Fact!$D:$D,qPL_Fact!$C:$C,$B81,qPL_Fact!$A:$A,DATE(2024,10,1))+SUMIFS(qPL_Fact!$D:$D,qPL_Fact!$C:$C,$B81,qPL_Fact!$A:$A,DATE(2024,11,1))+SUMIFS(qPL_Fact!$D:$D,qPL_Fact!$C:$C,$B81,qPL_Fact!$A:$A,DATE(2024,12,1))+SUMIFS(qPL_Fact!$D:$D,qPL_Fact!$C:$C,$B81,qPL_Fact!$A:$A,DATE(2025,1,1))+SUMIFS(qPL_Fact!$D:$D,qPL_Fact!$C:$C,$B81,qPL_Fact!$A:$A,DATE(2025,2,1))+SUMIFS(qPL_Fact!$D:$D,qPL_Fact!$C:$C,$B81,qPL_Fact!$A:$A,DATE(2025,3,1))+SUMIFS(qPL_Fact!$D:$D,qPL_Fact!$C:$C,$B81,qPL_Fact!$A:$A,DATE(2025,4,1))+SUMIFS(qPL_Fact!$D:$D,qPL_Fact!$C:$C,$B81,qPL_Fact!$A:$A,DATE(2025,5,1))+SUMIFS(qPL_Fact!$D:$D,qPL_Fact!$C:$C,$B81,qPL_Fact!$A:$A,DATE(2025,6,1))+SUMIFS(qPL_Fact!$D:$D,qPL_Fact!$C:$C,$B81,qPL_Fact!$A:$A,DATE(2025,7,1))</f>
        <v/>
      </c>
      <c r="K81" s="41">
        <f>I81-J81</f>
        <v/>
      </c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</row>
    <row r="83">
      <c r="A83" s="42" t="n"/>
      <c r="B83" s="43" t="inlineStr">
        <is>
          <t>NET CASH FLOW</t>
        </is>
      </c>
      <c r="C83" s="44">
        <f>SUMIFS(qPL_Fact!$D:$D,qPL_Fact!$C:$C,$B83,qPL_Fact!$A:$A,DATE(2025,12,1))</f>
        <v/>
      </c>
      <c r="D83" s="44">
        <f>SUMIFS(qPL_Fact!$D:$D,qPL_Fact!$C:$C,$B83,qPL_Fact!$A:$A,DATE(2025,11,1))</f>
        <v/>
      </c>
      <c r="E83" s="44">
        <f>C83-D83</f>
        <v/>
      </c>
      <c r="F83" s="44">
        <f>SUMIFS(qPL_Fact!$D:$D,qPL_Fact!$C:$C,$B83,qPL_Fact!$A:$A,DATE(2025,10,1))+SUMIFS(qPL_Fact!$D:$D,qPL_Fact!$C:$C,$B83,qPL_Fact!$A:$A,DATE(2025,11,1))+SUMIFS(qPL_Fact!$D:$D,qPL_Fact!$C:$C,$B83,qPL_Fact!$A:$A,DATE(2025,12,1))</f>
        <v/>
      </c>
      <c r="G83" s="44">
        <f>SUMIFS(qPL_Fact!$D:$D,qPL_Fact!$C:$C,$B83,qPL_Fact!$A:$A,DATE(2025,7,1))+SUMIFS(qPL_Fact!$D:$D,qPL_Fact!$C:$C,$B83,qPL_Fact!$A:$A,DATE(2025,8,1))+SUMIFS(qPL_Fact!$D:$D,qPL_Fact!$C:$C,$B83,qPL_Fact!$A:$A,DATE(2025,9,1))</f>
        <v/>
      </c>
      <c r="H83" s="44">
        <f>F83-G83</f>
        <v/>
      </c>
      <c r="I83" s="44">
        <f>SUMIFS(qPL_Fact!$D:$D,qPL_Fact!$C:$C,$B83,qPL_Fact!$A:$A,DATE(2025,1,1))+SUMIFS(qPL_Fact!$D:$D,qPL_Fact!$C:$C,$B83,qPL_Fact!$A:$A,DATE(2025,2,1))+SUMIFS(qPL_Fact!$D:$D,qPL_Fact!$C:$C,$B83,qPL_Fact!$A:$A,DATE(2025,3,1))+SUMIFS(qPL_Fact!$D:$D,qPL_Fact!$C:$C,$B83,qPL_Fact!$A:$A,DATE(2025,4,1))+SUMIFS(qPL_Fact!$D:$D,qPL_Fact!$C:$C,$B83,qPL_Fact!$A:$A,DATE(2025,5,1))+SUMIFS(qPL_Fact!$D:$D,qPL_Fact!$C:$C,$B83,qPL_Fact!$A:$A,DATE(2025,6,1))+SUMIFS(qPL_Fact!$D:$D,qPL_Fact!$C:$C,$B83,qPL_Fact!$A:$A,DATE(2025,7,1))+SUMIFS(qPL_Fact!$D:$D,qPL_Fact!$C:$C,$B83,qPL_Fact!$A:$A,DATE(2025,8,1))+SUMIFS(qPL_Fact!$D:$D,qPL_Fact!$C:$C,$B83,qPL_Fact!$A:$A,DATE(2025,9,1))+SUMIFS(qPL_Fact!$D:$D,qPL_Fact!$C:$C,$B83,qPL_Fact!$A:$A,DATE(2025,10,1))+SUMIFS(qPL_Fact!$D:$D,qPL_Fact!$C:$C,$B83,qPL_Fact!$A:$A,DATE(2025,11,1))+SUMIFS(qPL_Fact!$D:$D,qPL_Fact!$C:$C,$B83,qPL_Fact!$A:$A,DATE(2025,12,1))</f>
        <v/>
      </c>
      <c r="J83" s="44">
        <f>SUMIFS(qPL_Fact!$D:$D,qPL_Fact!$C:$C,$B83,qPL_Fact!$A:$A,DATE(2024,8,1))+SUMIFS(qPL_Fact!$D:$D,qPL_Fact!$C:$C,$B83,qPL_Fact!$A:$A,DATE(2024,9,1))+SUMIFS(qPL_Fact!$D:$D,qPL_Fact!$C:$C,$B83,qPL_Fact!$A:$A,DATE(2024,10,1))+SUMIFS(qPL_Fact!$D:$D,qPL_Fact!$C:$C,$B83,qPL_Fact!$A:$A,DATE(2024,11,1))+SUMIFS(qPL_Fact!$D:$D,qPL_Fact!$C:$C,$B83,qPL_Fact!$A:$A,DATE(2024,12,1))+SUMIFS(qPL_Fact!$D:$D,qPL_Fact!$C:$C,$B83,qPL_Fact!$A:$A,DATE(2025,1,1))+SUMIFS(qPL_Fact!$D:$D,qPL_Fact!$C:$C,$B83,qPL_Fact!$A:$A,DATE(2025,2,1))+SUMIFS(qPL_Fact!$D:$D,qPL_Fact!$C:$C,$B83,qPL_Fact!$A:$A,DATE(2025,3,1))+SUMIFS(qPL_Fact!$D:$D,qPL_Fact!$C:$C,$B83,qPL_Fact!$A:$A,DATE(2025,4,1))+SUMIFS(qPL_Fact!$D:$D,qPL_Fact!$C:$C,$B83,qPL_Fact!$A:$A,DATE(2025,5,1))+SUMIFS(qPL_Fact!$D:$D,qPL_Fact!$C:$C,$B83,qPL_Fact!$A:$A,DATE(2025,6,1))+SUMIFS(qPL_Fact!$D:$D,qPL_Fact!$C:$C,$B83,qPL_Fact!$A:$A,DATE(2025,7,1))</f>
        <v/>
      </c>
      <c r="K83" s="44">
        <f>I83-J83</f>
        <v/>
      </c>
    </row>
    <row r="84">
      <c r="A84" s="20" t="n"/>
      <c r="B84" s="12" t="inlineStr">
        <is>
          <t>Cash-on-Cash (Ann.)</t>
        </is>
      </c>
      <c r="C84" s="45">
        <f>SUMIFS(qPL_Fact!$D:$D,qPL_Fact!$C:$C,$B84,qPL_Fact!$A:$A,DATE(2025,12,1))</f>
        <v/>
      </c>
      <c r="D84" s="45">
        <f>SUMIFS(qPL_Fact!$D:$D,qPL_Fact!$C:$C,$B84,qPL_Fact!$A:$A,DATE(2025,11,1))</f>
        <v/>
      </c>
      <c r="E84" s="45">
        <f>C84-D84</f>
        <v/>
      </c>
      <c r="F84" s="45">
        <f>SUMIFS(qPL_Fact!$D:$D,qPL_Fact!$C:$C,$B84,qPL_Fact!$A:$A,DATE(2025,10,1))+SUMIFS(qPL_Fact!$D:$D,qPL_Fact!$C:$C,$B84,qPL_Fact!$A:$A,DATE(2025,11,1))+SUMIFS(qPL_Fact!$D:$D,qPL_Fact!$C:$C,$B84,qPL_Fact!$A:$A,DATE(2025,12,1))</f>
        <v/>
      </c>
      <c r="G84" s="45">
        <f>SUMIFS(qPL_Fact!$D:$D,qPL_Fact!$C:$C,$B84,qPL_Fact!$A:$A,DATE(2025,7,1))+SUMIFS(qPL_Fact!$D:$D,qPL_Fact!$C:$C,$B84,qPL_Fact!$A:$A,DATE(2025,8,1))+SUMIFS(qPL_Fact!$D:$D,qPL_Fact!$C:$C,$B84,qPL_Fact!$A:$A,DATE(2025,9,1))</f>
        <v/>
      </c>
      <c r="H84" s="45">
        <f>F84-G84</f>
        <v/>
      </c>
      <c r="I84" s="45">
        <f>SUMIFS(qPL_Fact!$D:$D,qPL_Fact!$C:$C,$B84,qPL_Fact!$A:$A,DATE(2025,1,1))+SUMIFS(qPL_Fact!$D:$D,qPL_Fact!$C:$C,$B84,qPL_Fact!$A:$A,DATE(2025,2,1))+SUMIFS(qPL_Fact!$D:$D,qPL_Fact!$C:$C,$B84,qPL_Fact!$A:$A,DATE(2025,3,1))+SUMIFS(qPL_Fact!$D:$D,qPL_Fact!$C:$C,$B84,qPL_Fact!$A:$A,DATE(2025,4,1))+SUMIFS(qPL_Fact!$D:$D,qPL_Fact!$C:$C,$B84,qPL_Fact!$A:$A,DATE(2025,5,1))+SUMIFS(qPL_Fact!$D:$D,qPL_Fact!$C:$C,$B84,qPL_Fact!$A:$A,DATE(2025,6,1))+SUMIFS(qPL_Fact!$D:$D,qPL_Fact!$C:$C,$B84,qPL_Fact!$A:$A,DATE(2025,7,1))+SUMIFS(qPL_Fact!$D:$D,qPL_Fact!$C:$C,$B84,qPL_Fact!$A:$A,DATE(2025,8,1))+SUMIFS(qPL_Fact!$D:$D,qPL_Fact!$C:$C,$B84,qPL_Fact!$A:$A,DATE(2025,9,1))+SUMIFS(qPL_Fact!$D:$D,qPL_Fact!$C:$C,$B84,qPL_Fact!$A:$A,DATE(2025,10,1))+SUMIFS(qPL_Fact!$D:$D,qPL_Fact!$C:$C,$B84,qPL_Fact!$A:$A,DATE(2025,11,1))+SUMIFS(qPL_Fact!$D:$D,qPL_Fact!$C:$C,$B84,qPL_Fact!$A:$A,DATE(2025,12,1))</f>
        <v/>
      </c>
      <c r="J84" s="45">
        <f>SUMIFS(qPL_Fact!$D:$D,qPL_Fact!$C:$C,$B84,qPL_Fact!$A:$A,DATE(2024,8,1))+SUMIFS(qPL_Fact!$D:$D,qPL_Fact!$C:$C,$B84,qPL_Fact!$A:$A,DATE(2024,9,1))+SUMIFS(qPL_Fact!$D:$D,qPL_Fact!$C:$C,$B84,qPL_Fact!$A:$A,DATE(2024,10,1))+SUMIFS(qPL_Fact!$D:$D,qPL_Fact!$C:$C,$B84,qPL_Fact!$A:$A,DATE(2024,11,1))+SUMIFS(qPL_Fact!$D:$D,qPL_Fact!$C:$C,$B84,qPL_Fact!$A:$A,DATE(2024,12,1))+SUMIFS(qPL_Fact!$D:$D,qPL_Fact!$C:$C,$B84,qPL_Fact!$A:$A,DATE(2025,1,1))+SUMIFS(qPL_Fact!$D:$D,qPL_Fact!$C:$C,$B84,qPL_Fact!$A:$A,DATE(2025,2,1))+SUMIFS(qPL_Fact!$D:$D,qPL_Fact!$C:$C,$B84,qPL_Fact!$A:$A,DATE(2025,3,1))+SUMIFS(qPL_Fact!$D:$D,qPL_Fact!$C:$C,$B84,qPL_Fact!$A:$A,DATE(2025,4,1))+SUMIFS(qPL_Fact!$D:$D,qPL_Fact!$C:$C,$B84,qPL_Fact!$A:$A,DATE(2025,5,1))+SUMIFS(qPL_Fact!$D:$D,qPL_Fact!$C:$C,$B84,qPL_Fact!$A:$A,DATE(2025,6,1))+SUMIFS(qPL_Fact!$D:$D,qPL_Fact!$C:$C,$B84,qPL_Fact!$A:$A,DATE(2025,7,1))</f>
        <v/>
      </c>
      <c r="K84" s="45">
        <f>I84-J84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</row>
    <row r="86" ht="20" customHeight="1">
      <c r="A86" s="6" t="n"/>
      <c r="B86" s="6" t="inlineStr">
        <is>
          <t>KEY METRICS</t>
        </is>
      </c>
      <c r="C86" s="36">
        <f>SUMIFS(qPL_Fact!$D:$D,qPL_Fact!$C:$C,$B86,qPL_Fact!$A:$A,DATE(2025,12,1))</f>
        <v/>
      </c>
      <c r="D86" s="36">
        <f>SUMIFS(qPL_Fact!$D:$D,qPL_Fact!$C:$C,$B86,qPL_Fact!$A:$A,DATE(2025,11,1))</f>
        <v/>
      </c>
      <c r="E86" s="36">
        <f>C86-D86</f>
        <v/>
      </c>
      <c r="F86" s="36">
        <f>SUMIFS(qPL_Fact!$D:$D,qPL_Fact!$C:$C,$B86,qPL_Fact!$A:$A,DATE(2025,10,1))+SUMIFS(qPL_Fact!$D:$D,qPL_Fact!$C:$C,$B86,qPL_Fact!$A:$A,DATE(2025,11,1))+SUMIFS(qPL_Fact!$D:$D,qPL_Fact!$C:$C,$B86,qPL_Fact!$A:$A,DATE(2025,12,1))</f>
        <v/>
      </c>
      <c r="G86" s="36">
        <f>SUMIFS(qPL_Fact!$D:$D,qPL_Fact!$C:$C,$B86,qPL_Fact!$A:$A,DATE(2025,7,1))+SUMIFS(qPL_Fact!$D:$D,qPL_Fact!$C:$C,$B86,qPL_Fact!$A:$A,DATE(2025,8,1))+SUMIFS(qPL_Fact!$D:$D,qPL_Fact!$C:$C,$B86,qPL_Fact!$A:$A,DATE(2025,9,1))</f>
        <v/>
      </c>
      <c r="H86" s="36">
        <f>F86-G86</f>
        <v/>
      </c>
      <c r="I86" s="36">
        <f>SUMIFS(qPL_Fact!$D:$D,qPL_Fact!$C:$C,$B86,qPL_Fact!$A:$A,DATE(2025,1,1))+SUMIFS(qPL_Fact!$D:$D,qPL_Fact!$C:$C,$B86,qPL_Fact!$A:$A,DATE(2025,2,1))+SUMIFS(qPL_Fact!$D:$D,qPL_Fact!$C:$C,$B86,qPL_Fact!$A:$A,DATE(2025,3,1))+SUMIFS(qPL_Fact!$D:$D,qPL_Fact!$C:$C,$B86,qPL_Fact!$A:$A,DATE(2025,4,1))+SUMIFS(qPL_Fact!$D:$D,qPL_Fact!$C:$C,$B86,qPL_Fact!$A:$A,DATE(2025,5,1))+SUMIFS(qPL_Fact!$D:$D,qPL_Fact!$C:$C,$B86,qPL_Fact!$A:$A,DATE(2025,6,1))+SUMIFS(qPL_Fact!$D:$D,qPL_Fact!$C:$C,$B86,qPL_Fact!$A:$A,DATE(2025,7,1))+SUMIFS(qPL_Fact!$D:$D,qPL_Fact!$C:$C,$B86,qPL_Fact!$A:$A,DATE(2025,8,1))+SUMIFS(qPL_Fact!$D:$D,qPL_Fact!$C:$C,$B86,qPL_Fact!$A:$A,DATE(2025,9,1))+SUMIFS(qPL_Fact!$D:$D,qPL_Fact!$C:$C,$B86,qPL_Fact!$A:$A,DATE(2025,10,1))+SUMIFS(qPL_Fact!$D:$D,qPL_Fact!$C:$C,$B86,qPL_Fact!$A:$A,DATE(2025,11,1))+SUMIFS(qPL_Fact!$D:$D,qPL_Fact!$C:$C,$B86,qPL_Fact!$A:$A,DATE(2025,12,1))</f>
        <v/>
      </c>
      <c r="J86" s="36">
        <f>SUMIFS(qPL_Fact!$D:$D,qPL_Fact!$C:$C,$B86,qPL_Fact!$A:$A,DATE(2024,8,1))+SUMIFS(qPL_Fact!$D:$D,qPL_Fact!$C:$C,$B86,qPL_Fact!$A:$A,DATE(2024,9,1))+SUMIFS(qPL_Fact!$D:$D,qPL_Fact!$C:$C,$B86,qPL_Fact!$A:$A,DATE(2024,10,1))+SUMIFS(qPL_Fact!$D:$D,qPL_Fact!$C:$C,$B86,qPL_Fact!$A:$A,DATE(2024,11,1))+SUMIFS(qPL_Fact!$D:$D,qPL_Fact!$C:$C,$B86,qPL_Fact!$A:$A,DATE(2024,12,1))+SUMIFS(qPL_Fact!$D:$D,qPL_Fact!$C:$C,$B86,qPL_Fact!$A:$A,DATE(2025,1,1))+SUMIFS(qPL_Fact!$D:$D,qPL_Fact!$C:$C,$B86,qPL_Fact!$A:$A,DATE(2025,2,1))+SUMIFS(qPL_Fact!$D:$D,qPL_Fact!$C:$C,$B86,qPL_Fact!$A:$A,DATE(2025,3,1))+SUMIFS(qPL_Fact!$D:$D,qPL_Fact!$C:$C,$B86,qPL_Fact!$A:$A,DATE(2025,4,1))+SUMIFS(qPL_Fact!$D:$D,qPL_Fact!$C:$C,$B86,qPL_Fact!$A:$A,DATE(2025,5,1))+SUMIFS(qPL_Fact!$D:$D,qPL_Fact!$C:$C,$B86,qPL_Fact!$A:$A,DATE(2025,6,1))+SUMIFS(qPL_Fact!$D:$D,qPL_Fact!$C:$C,$B86,qPL_Fact!$A:$A,DATE(2025,7,1))</f>
        <v/>
      </c>
      <c r="K86" s="36">
        <f>I86-J86</f>
        <v/>
      </c>
    </row>
    <row r="87">
      <c r="A87" s="23" t="n"/>
      <c r="B87" s="10" t="inlineStr">
        <is>
          <t>DSCR</t>
        </is>
      </c>
      <c r="C87" s="46">
        <f>SUMIFS(qPL_Fact!$D:$D,qPL_Fact!$C:$C,$B87,qPL_Fact!$A:$A,DATE(2025,12,1))</f>
        <v/>
      </c>
      <c r="D87" s="46">
        <f>SUMIFS(qPL_Fact!$D:$D,qPL_Fact!$C:$C,$B87,qPL_Fact!$A:$A,DATE(2025,11,1))</f>
        <v/>
      </c>
      <c r="E87" s="46">
        <f>C87-D87</f>
        <v/>
      </c>
      <c r="F87" s="46">
        <f>SUMIFS(qPL_Fact!$D:$D,qPL_Fact!$C:$C,$B87,qPL_Fact!$A:$A,DATE(2025,10,1))+SUMIFS(qPL_Fact!$D:$D,qPL_Fact!$C:$C,$B87,qPL_Fact!$A:$A,DATE(2025,11,1))+SUMIFS(qPL_Fact!$D:$D,qPL_Fact!$C:$C,$B87,qPL_Fact!$A:$A,DATE(2025,12,1))</f>
        <v/>
      </c>
      <c r="G87" s="46">
        <f>SUMIFS(qPL_Fact!$D:$D,qPL_Fact!$C:$C,$B87,qPL_Fact!$A:$A,DATE(2025,7,1))+SUMIFS(qPL_Fact!$D:$D,qPL_Fact!$C:$C,$B87,qPL_Fact!$A:$A,DATE(2025,8,1))+SUMIFS(qPL_Fact!$D:$D,qPL_Fact!$C:$C,$B87,qPL_Fact!$A:$A,DATE(2025,9,1))</f>
        <v/>
      </c>
      <c r="H87" s="46">
        <f>F87-G87</f>
        <v/>
      </c>
      <c r="I87" s="46">
        <f>SUMIFS(qPL_Fact!$D:$D,qPL_Fact!$C:$C,$B87,qPL_Fact!$A:$A,DATE(2025,1,1))+SUMIFS(qPL_Fact!$D:$D,qPL_Fact!$C:$C,$B87,qPL_Fact!$A:$A,DATE(2025,2,1))+SUMIFS(qPL_Fact!$D:$D,qPL_Fact!$C:$C,$B87,qPL_Fact!$A:$A,DATE(2025,3,1))+SUMIFS(qPL_Fact!$D:$D,qPL_Fact!$C:$C,$B87,qPL_Fact!$A:$A,DATE(2025,4,1))+SUMIFS(qPL_Fact!$D:$D,qPL_Fact!$C:$C,$B87,qPL_Fact!$A:$A,DATE(2025,5,1))+SUMIFS(qPL_Fact!$D:$D,qPL_Fact!$C:$C,$B87,qPL_Fact!$A:$A,DATE(2025,6,1))+SUMIFS(qPL_Fact!$D:$D,qPL_Fact!$C:$C,$B87,qPL_Fact!$A:$A,DATE(2025,7,1))+SUMIFS(qPL_Fact!$D:$D,qPL_Fact!$C:$C,$B87,qPL_Fact!$A:$A,DATE(2025,8,1))+SUMIFS(qPL_Fact!$D:$D,qPL_Fact!$C:$C,$B87,qPL_Fact!$A:$A,DATE(2025,9,1))+SUMIFS(qPL_Fact!$D:$D,qPL_Fact!$C:$C,$B87,qPL_Fact!$A:$A,DATE(2025,10,1))+SUMIFS(qPL_Fact!$D:$D,qPL_Fact!$C:$C,$B87,qPL_Fact!$A:$A,DATE(2025,11,1))+SUMIFS(qPL_Fact!$D:$D,qPL_Fact!$C:$C,$B87,qPL_Fact!$A:$A,DATE(2025,12,1))</f>
        <v/>
      </c>
      <c r="J87" s="46">
        <f>SUMIFS(qPL_Fact!$D:$D,qPL_Fact!$C:$C,$B87,qPL_Fact!$A:$A,DATE(2024,8,1))+SUMIFS(qPL_Fact!$D:$D,qPL_Fact!$C:$C,$B87,qPL_Fact!$A:$A,DATE(2024,9,1))+SUMIFS(qPL_Fact!$D:$D,qPL_Fact!$C:$C,$B87,qPL_Fact!$A:$A,DATE(2024,10,1))+SUMIFS(qPL_Fact!$D:$D,qPL_Fact!$C:$C,$B87,qPL_Fact!$A:$A,DATE(2024,11,1))+SUMIFS(qPL_Fact!$D:$D,qPL_Fact!$C:$C,$B87,qPL_Fact!$A:$A,DATE(2024,12,1))+SUMIFS(qPL_Fact!$D:$D,qPL_Fact!$C:$C,$B87,qPL_Fact!$A:$A,DATE(2025,1,1))+SUMIFS(qPL_Fact!$D:$D,qPL_Fact!$C:$C,$B87,qPL_Fact!$A:$A,DATE(2025,2,1))+SUMIFS(qPL_Fact!$D:$D,qPL_Fact!$C:$C,$B87,qPL_Fact!$A:$A,DATE(2025,3,1))+SUMIFS(qPL_Fact!$D:$D,qPL_Fact!$C:$C,$B87,qPL_Fact!$A:$A,DATE(2025,4,1))+SUMIFS(qPL_Fact!$D:$D,qPL_Fact!$C:$C,$B87,qPL_Fact!$A:$A,DATE(2025,5,1))+SUMIFS(qPL_Fact!$D:$D,qPL_Fact!$C:$C,$B87,qPL_Fact!$A:$A,DATE(2025,6,1))+SUMIFS(qPL_Fact!$D:$D,qPL_Fact!$C:$C,$B87,qPL_Fact!$A:$A,DATE(2025,7,1))</f>
        <v/>
      </c>
      <c r="K87" s="46">
        <f>I87-J87</f>
        <v/>
      </c>
    </row>
    <row r="88">
      <c r="A88" s="20" t="n"/>
      <c r="B88" s="12" t="inlineStr">
        <is>
          <t>Cap Rate</t>
        </is>
      </c>
      <c r="C88" s="45">
        <f>SUMIFS(qPL_Fact!$D:$D,qPL_Fact!$C:$C,$B88,qPL_Fact!$A:$A,DATE(2025,12,1))</f>
        <v/>
      </c>
      <c r="D88" s="45">
        <f>SUMIFS(qPL_Fact!$D:$D,qPL_Fact!$C:$C,$B88,qPL_Fact!$A:$A,DATE(2025,11,1))</f>
        <v/>
      </c>
      <c r="E88" s="45">
        <f>C88-D88</f>
        <v/>
      </c>
      <c r="F88" s="45">
        <f>SUMIFS(qPL_Fact!$D:$D,qPL_Fact!$C:$C,$B88,qPL_Fact!$A:$A,DATE(2025,10,1))+SUMIFS(qPL_Fact!$D:$D,qPL_Fact!$C:$C,$B88,qPL_Fact!$A:$A,DATE(2025,11,1))+SUMIFS(qPL_Fact!$D:$D,qPL_Fact!$C:$C,$B88,qPL_Fact!$A:$A,DATE(2025,12,1))</f>
        <v/>
      </c>
      <c r="G88" s="45">
        <f>SUMIFS(qPL_Fact!$D:$D,qPL_Fact!$C:$C,$B88,qPL_Fact!$A:$A,DATE(2025,7,1))+SUMIFS(qPL_Fact!$D:$D,qPL_Fact!$C:$C,$B88,qPL_Fact!$A:$A,DATE(2025,8,1))+SUMIFS(qPL_Fact!$D:$D,qPL_Fact!$C:$C,$B88,qPL_Fact!$A:$A,DATE(2025,9,1))</f>
        <v/>
      </c>
      <c r="H88" s="45">
        <f>F88-G88</f>
        <v/>
      </c>
      <c r="I88" s="45">
        <f>SUMIFS(qPL_Fact!$D:$D,qPL_Fact!$C:$C,$B88,qPL_Fact!$A:$A,DATE(2025,1,1))+SUMIFS(qPL_Fact!$D:$D,qPL_Fact!$C:$C,$B88,qPL_Fact!$A:$A,DATE(2025,2,1))+SUMIFS(qPL_Fact!$D:$D,qPL_Fact!$C:$C,$B88,qPL_Fact!$A:$A,DATE(2025,3,1))+SUMIFS(qPL_Fact!$D:$D,qPL_Fact!$C:$C,$B88,qPL_Fact!$A:$A,DATE(2025,4,1))+SUMIFS(qPL_Fact!$D:$D,qPL_Fact!$C:$C,$B88,qPL_Fact!$A:$A,DATE(2025,5,1))+SUMIFS(qPL_Fact!$D:$D,qPL_Fact!$C:$C,$B88,qPL_Fact!$A:$A,DATE(2025,6,1))+SUMIFS(qPL_Fact!$D:$D,qPL_Fact!$C:$C,$B88,qPL_Fact!$A:$A,DATE(2025,7,1))+SUMIFS(qPL_Fact!$D:$D,qPL_Fact!$C:$C,$B88,qPL_Fact!$A:$A,DATE(2025,8,1))+SUMIFS(qPL_Fact!$D:$D,qPL_Fact!$C:$C,$B88,qPL_Fact!$A:$A,DATE(2025,9,1))+SUMIFS(qPL_Fact!$D:$D,qPL_Fact!$C:$C,$B88,qPL_Fact!$A:$A,DATE(2025,10,1))+SUMIFS(qPL_Fact!$D:$D,qPL_Fact!$C:$C,$B88,qPL_Fact!$A:$A,DATE(2025,11,1))+SUMIFS(qPL_Fact!$D:$D,qPL_Fact!$C:$C,$B88,qPL_Fact!$A:$A,DATE(2025,12,1))</f>
        <v/>
      </c>
      <c r="J88" s="45">
        <f>SUMIFS(qPL_Fact!$D:$D,qPL_Fact!$C:$C,$B88,qPL_Fact!$A:$A,DATE(2024,8,1))+SUMIFS(qPL_Fact!$D:$D,qPL_Fact!$C:$C,$B88,qPL_Fact!$A:$A,DATE(2024,9,1))+SUMIFS(qPL_Fact!$D:$D,qPL_Fact!$C:$C,$B88,qPL_Fact!$A:$A,DATE(2024,10,1))+SUMIFS(qPL_Fact!$D:$D,qPL_Fact!$C:$C,$B88,qPL_Fact!$A:$A,DATE(2024,11,1))+SUMIFS(qPL_Fact!$D:$D,qPL_Fact!$C:$C,$B88,qPL_Fact!$A:$A,DATE(2024,12,1))+SUMIFS(qPL_Fact!$D:$D,qPL_Fact!$C:$C,$B88,qPL_Fact!$A:$A,DATE(2025,1,1))+SUMIFS(qPL_Fact!$D:$D,qPL_Fact!$C:$C,$B88,qPL_Fact!$A:$A,DATE(2025,2,1))+SUMIFS(qPL_Fact!$D:$D,qPL_Fact!$C:$C,$B88,qPL_Fact!$A:$A,DATE(2025,3,1))+SUMIFS(qPL_Fact!$D:$D,qPL_Fact!$C:$C,$B88,qPL_Fact!$A:$A,DATE(2025,4,1))+SUMIFS(qPL_Fact!$D:$D,qPL_Fact!$C:$C,$B88,qPL_Fact!$A:$A,DATE(2025,5,1))+SUMIFS(qPL_Fact!$D:$D,qPL_Fact!$C:$C,$B88,qPL_Fact!$A:$A,DATE(2025,6,1))+SUMIFS(qPL_Fact!$D:$D,qPL_Fact!$C:$C,$B88,qPL_Fact!$A:$A,DATE(2025,7,1))</f>
        <v/>
      </c>
      <c r="K88" s="45">
        <f>I88-J88</f>
        <v/>
      </c>
    </row>
    <row r="89">
      <c r="A89" s="23" t="n"/>
      <c r="B89" s="10" t="inlineStr">
        <is>
          <t>Expense Ratio</t>
        </is>
      </c>
      <c r="C89" s="47">
        <f>SUMIFS(qPL_Fact!$D:$D,qPL_Fact!$C:$C,$B89,qPL_Fact!$A:$A,DATE(2025,12,1))</f>
        <v/>
      </c>
      <c r="D89" s="47">
        <f>SUMIFS(qPL_Fact!$D:$D,qPL_Fact!$C:$C,$B89,qPL_Fact!$A:$A,DATE(2025,11,1))</f>
        <v/>
      </c>
      <c r="E89" s="47">
        <f>C89-D89</f>
        <v/>
      </c>
      <c r="F89" s="47">
        <f>SUMIFS(qPL_Fact!$D:$D,qPL_Fact!$C:$C,$B89,qPL_Fact!$A:$A,DATE(2025,10,1))+SUMIFS(qPL_Fact!$D:$D,qPL_Fact!$C:$C,$B89,qPL_Fact!$A:$A,DATE(2025,11,1))+SUMIFS(qPL_Fact!$D:$D,qPL_Fact!$C:$C,$B89,qPL_Fact!$A:$A,DATE(2025,12,1))</f>
        <v/>
      </c>
      <c r="G89" s="47">
        <f>SUMIFS(qPL_Fact!$D:$D,qPL_Fact!$C:$C,$B89,qPL_Fact!$A:$A,DATE(2025,7,1))+SUMIFS(qPL_Fact!$D:$D,qPL_Fact!$C:$C,$B89,qPL_Fact!$A:$A,DATE(2025,8,1))+SUMIFS(qPL_Fact!$D:$D,qPL_Fact!$C:$C,$B89,qPL_Fact!$A:$A,DATE(2025,9,1))</f>
        <v/>
      </c>
      <c r="H89" s="47">
        <f>F89-G89</f>
        <v/>
      </c>
      <c r="I89" s="47">
        <f>SUMIFS(qPL_Fact!$D:$D,qPL_Fact!$C:$C,$B89,qPL_Fact!$A:$A,DATE(2025,1,1))+SUMIFS(qPL_Fact!$D:$D,qPL_Fact!$C:$C,$B89,qPL_Fact!$A:$A,DATE(2025,2,1))+SUMIFS(qPL_Fact!$D:$D,qPL_Fact!$C:$C,$B89,qPL_Fact!$A:$A,DATE(2025,3,1))+SUMIFS(qPL_Fact!$D:$D,qPL_Fact!$C:$C,$B89,qPL_Fact!$A:$A,DATE(2025,4,1))+SUMIFS(qPL_Fact!$D:$D,qPL_Fact!$C:$C,$B89,qPL_Fact!$A:$A,DATE(2025,5,1))+SUMIFS(qPL_Fact!$D:$D,qPL_Fact!$C:$C,$B89,qPL_Fact!$A:$A,DATE(2025,6,1))+SUMIFS(qPL_Fact!$D:$D,qPL_Fact!$C:$C,$B89,qPL_Fact!$A:$A,DATE(2025,7,1))+SUMIFS(qPL_Fact!$D:$D,qPL_Fact!$C:$C,$B89,qPL_Fact!$A:$A,DATE(2025,8,1))+SUMIFS(qPL_Fact!$D:$D,qPL_Fact!$C:$C,$B89,qPL_Fact!$A:$A,DATE(2025,9,1))+SUMIFS(qPL_Fact!$D:$D,qPL_Fact!$C:$C,$B89,qPL_Fact!$A:$A,DATE(2025,10,1))+SUMIFS(qPL_Fact!$D:$D,qPL_Fact!$C:$C,$B89,qPL_Fact!$A:$A,DATE(2025,11,1))+SUMIFS(qPL_Fact!$D:$D,qPL_Fact!$C:$C,$B89,qPL_Fact!$A:$A,DATE(2025,12,1))</f>
        <v/>
      </c>
      <c r="J89" s="47">
        <f>SUMIFS(qPL_Fact!$D:$D,qPL_Fact!$C:$C,$B89,qPL_Fact!$A:$A,DATE(2024,8,1))+SUMIFS(qPL_Fact!$D:$D,qPL_Fact!$C:$C,$B89,qPL_Fact!$A:$A,DATE(2024,9,1))+SUMIFS(qPL_Fact!$D:$D,qPL_Fact!$C:$C,$B89,qPL_Fact!$A:$A,DATE(2024,10,1))+SUMIFS(qPL_Fact!$D:$D,qPL_Fact!$C:$C,$B89,qPL_Fact!$A:$A,DATE(2024,11,1))+SUMIFS(qPL_Fact!$D:$D,qPL_Fact!$C:$C,$B89,qPL_Fact!$A:$A,DATE(2024,12,1))+SUMIFS(qPL_Fact!$D:$D,qPL_Fact!$C:$C,$B89,qPL_Fact!$A:$A,DATE(2025,1,1))+SUMIFS(qPL_Fact!$D:$D,qPL_Fact!$C:$C,$B89,qPL_Fact!$A:$A,DATE(2025,2,1))+SUMIFS(qPL_Fact!$D:$D,qPL_Fact!$C:$C,$B89,qPL_Fact!$A:$A,DATE(2025,3,1))+SUMIFS(qPL_Fact!$D:$D,qPL_Fact!$C:$C,$B89,qPL_Fact!$A:$A,DATE(2025,4,1))+SUMIFS(qPL_Fact!$D:$D,qPL_Fact!$C:$C,$B89,qPL_Fact!$A:$A,DATE(2025,5,1))+SUMIFS(qPL_Fact!$D:$D,qPL_Fact!$C:$C,$B89,qPL_Fact!$A:$A,DATE(2025,6,1))+SUMIFS(qPL_Fact!$D:$D,qPL_Fact!$C:$C,$B89,qPL_Fact!$A:$A,DATE(2025,7,1))</f>
        <v/>
      </c>
      <c r="K89" s="47">
        <f>I89-J89</f>
        <v/>
      </c>
    </row>
    <row r="90">
      <c r="A90" s="20" t="n"/>
      <c r="B90" s="12" t="inlineStr">
        <is>
          <t>Cash-on-Cash (CFADS)</t>
        </is>
      </c>
      <c r="C90" s="45">
        <f>SUMIFS(qPL_Fact!$D:$D,qPL_Fact!$C:$C,$B90,qPL_Fact!$A:$A,DATE(2025,12,1))</f>
        <v/>
      </c>
      <c r="D90" s="45">
        <f>SUMIFS(qPL_Fact!$D:$D,qPL_Fact!$C:$C,$B90,qPL_Fact!$A:$A,DATE(2025,11,1))</f>
        <v/>
      </c>
      <c r="E90" s="45">
        <f>C90-D90</f>
        <v/>
      </c>
      <c r="F90" s="45">
        <f>SUMIFS(qPL_Fact!$D:$D,qPL_Fact!$C:$C,$B90,qPL_Fact!$A:$A,DATE(2025,10,1))+SUMIFS(qPL_Fact!$D:$D,qPL_Fact!$C:$C,$B90,qPL_Fact!$A:$A,DATE(2025,11,1))+SUMIFS(qPL_Fact!$D:$D,qPL_Fact!$C:$C,$B90,qPL_Fact!$A:$A,DATE(2025,12,1))</f>
        <v/>
      </c>
      <c r="G90" s="45">
        <f>SUMIFS(qPL_Fact!$D:$D,qPL_Fact!$C:$C,$B90,qPL_Fact!$A:$A,DATE(2025,7,1))+SUMIFS(qPL_Fact!$D:$D,qPL_Fact!$C:$C,$B90,qPL_Fact!$A:$A,DATE(2025,8,1))+SUMIFS(qPL_Fact!$D:$D,qPL_Fact!$C:$C,$B90,qPL_Fact!$A:$A,DATE(2025,9,1))</f>
        <v/>
      </c>
      <c r="H90" s="45">
        <f>F90-G90</f>
        <v/>
      </c>
      <c r="I90" s="45">
        <f>SUMIFS(qPL_Fact!$D:$D,qPL_Fact!$C:$C,$B90,qPL_Fact!$A:$A,DATE(2025,1,1))+SUMIFS(qPL_Fact!$D:$D,qPL_Fact!$C:$C,$B90,qPL_Fact!$A:$A,DATE(2025,2,1))+SUMIFS(qPL_Fact!$D:$D,qPL_Fact!$C:$C,$B90,qPL_Fact!$A:$A,DATE(2025,3,1))+SUMIFS(qPL_Fact!$D:$D,qPL_Fact!$C:$C,$B90,qPL_Fact!$A:$A,DATE(2025,4,1))+SUMIFS(qPL_Fact!$D:$D,qPL_Fact!$C:$C,$B90,qPL_Fact!$A:$A,DATE(2025,5,1))+SUMIFS(qPL_Fact!$D:$D,qPL_Fact!$C:$C,$B90,qPL_Fact!$A:$A,DATE(2025,6,1))+SUMIFS(qPL_Fact!$D:$D,qPL_Fact!$C:$C,$B90,qPL_Fact!$A:$A,DATE(2025,7,1))+SUMIFS(qPL_Fact!$D:$D,qPL_Fact!$C:$C,$B90,qPL_Fact!$A:$A,DATE(2025,8,1))+SUMIFS(qPL_Fact!$D:$D,qPL_Fact!$C:$C,$B90,qPL_Fact!$A:$A,DATE(2025,9,1))+SUMIFS(qPL_Fact!$D:$D,qPL_Fact!$C:$C,$B90,qPL_Fact!$A:$A,DATE(2025,10,1))+SUMIFS(qPL_Fact!$D:$D,qPL_Fact!$C:$C,$B90,qPL_Fact!$A:$A,DATE(2025,11,1))+SUMIFS(qPL_Fact!$D:$D,qPL_Fact!$C:$C,$B90,qPL_Fact!$A:$A,DATE(2025,12,1))</f>
        <v/>
      </c>
      <c r="J90" s="45">
        <f>SUMIFS(qPL_Fact!$D:$D,qPL_Fact!$C:$C,$B90,qPL_Fact!$A:$A,DATE(2024,8,1))+SUMIFS(qPL_Fact!$D:$D,qPL_Fact!$C:$C,$B90,qPL_Fact!$A:$A,DATE(2024,9,1))+SUMIFS(qPL_Fact!$D:$D,qPL_Fact!$C:$C,$B90,qPL_Fact!$A:$A,DATE(2024,10,1))+SUMIFS(qPL_Fact!$D:$D,qPL_Fact!$C:$C,$B90,qPL_Fact!$A:$A,DATE(2024,11,1))+SUMIFS(qPL_Fact!$D:$D,qPL_Fact!$C:$C,$B90,qPL_Fact!$A:$A,DATE(2024,12,1))+SUMIFS(qPL_Fact!$D:$D,qPL_Fact!$C:$C,$B90,qPL_Fact!$A:$A,DATE(2025,1,1))+SUMIFS(qPL_Fact!$D:$D,qPL_Fact!$C:$C,$B90,qPL_Fact!$A:$A,DATE(2025,2,1))+SUMIFS(qPL_Fact!$D:$D,qPL_Fact!$C:$C,$B90,qPL_Fact!$A:$A,DATE(2025,3,1))+SUMIFS(qPL_Fact!$D:$D,qPL_Fact!$C:$C,$B90,qPL_Fact!$A:$A,DATE(2025,4,1))+SUMIFS(qPL_Fact!$D:$D,qPL_Fact!$C:$C,$B90,qPL_Fact!$A:$A,DATE(2025,5,1))+SUMIFS(qPL_Fact!$D:$D,qPL_Fact!$C:$C,$B90,qPL_Fact!$A:$A,DATE(2025,6,1))+SUMIFS(qPL_Fact!$D:$D,qPL_Fact!$C:$C,$B90,qPL_Fact!$A:$A,DATE(2025,7,1))</f>
        <v/>
      </c>
      <c r="K90" s="45">
        <f>I90-J90</f>
        <v/>
      </c>
    </row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Distribution Model</t>
        </is>
      </c>
      <c r="B1" s="3" t="n"/>
      <c r="C1" s="3" t="n"/>
      <c r="D1" s="3" t="n"/>
      <c r="E1" s="3" t="n"/>
      <c r="F1" s="3" t="n"/>
      <c r="G1" s="3" t="n"/>
      <c r="H1" s="3" t="n"/>
    </row>
    <row r="2" ht="18" customHeight="1">
      <c r="A2" s="4" t="inlineStr">
        <is>
          <t>TIC Investor Waterfall — T12 Trailing Actuals</t>
        </is>
      </c>
      <c r="B2" s="5" t="n"/>
      <c r="C2" s="5" t="n"/>
      <c r="D2" s="5" t="n"/>
      <c r="E2" s="5" t="n"/>
      <c r="F2" s="5" t="n"/>
      <c r="G2" s="5" t="n"/>
      <c r="H2" s="5" t="n"/>
    </row>
    <row r="3" ht="20" customHeight="1">
      <c r="A3" s="6" t="inlineStr">
        <is>
          <t>CASH FLOW SUMMARY — T12 ACTUALS</t>
        </is>
      </c>
      <c r="B3" s="6" t="n"/>
      <c r="C3" s="6" t="n"/>
      <c r="D3" s="6" t="n"/>
      <c r="E3" s="6" t="n"/>
      <c r="F3" s="6" t="n"/>
      <c r="G3" s="6" t="n"/>
      <c r="H3" s="6" t="n"/>
    </row>
    <row r="4" ht="20" customHeight="1">
      <c r="A4" s="7" t="inlineStr">
        <is>
          <t>Line Item</t>
        </is>
      </c>
      <c r="B4" s="7" t="inlineStr">
        <is>
          <t>T12 Total</t>
        </is>
      </c>
      <c r="C4" s="7" t="inlineStr">
        <is>
          <t>Notes</t>
        </is>
      </c>
      <c r="D4" s="7" t="inlineStr"/>
      <c r="E4" s="7" t="inlineStr"/>
      <c r="F4" s="7" t="inlineStr"/>
      <c r="G4" s="7" t="inlineStr"/>
      <c r="H4" s="7" t="inlineStr"/>
    </row>
    <row r="5">
      <c r="A5" s="21" t="inlineStr">
        <is>
          <t>EFFECTIVE GROSS INCOME (EGI)</t>
        </is>
      </c>
      <c r="B5" s="26">
        <f>INDEX(T12_PL!$O:$O,MATCH("EFFECTIVE GROSS INCOME (EGI)",T12_PL!$B:$B,0))</f>
        <v/>
      </c>
      <c r="C5" s="23" t="n"/>
      <c r="D5" s="23" t="n"/>
      <c r="E5" s="23" t="n"/>
      <c r="F5" s="23" t="n"/>
      <c r="G5" s="23" t="n"/>
      <c r="H5" s="23" t="n"/>
    </row>
    <row r="6">
      <c r="A6" s="18" t="inlineStr">
        <is>
          <t>Total Operating Expenses</t>
        </is>
      </c>
      <c r="B6" s="25">
        <f>INDEX(T12_PL!$O:$O,MATCH("Total Operating Expenses",T12_PL!$B:$B,0))</f>
        <v/>
      </c>
      <c r="C6" s="20" t="n"/>
      <c r="D6" s="20" t="n"/>
      <c r="E6" s="20" t="n"/>
      <c r="F6" s="20" t="n"/>
      <c r="G6" s="20" t="n"/>
      <c r="H6" s="20" t="n"/>
    </row>
    <row r="7">
      <c r="A7" s="14" t="inlineStr">
        <is>
          <t>NET OPERATING INCOME (NOI)</t>
        </is>
      </c>
      <c r="B7" s="15">
        <f>INDEX(T12_PL!$O:$O,MATCH("NET OPERATING INCOME (NOI)",T12_PL!$B:$B,0))</f>
        <v/>
      </c>
      <c r="C7" s="17" t="n"/>
      <c r="D7" s="17" t="n"/>
      <c r="E7" s="17" t="n"/>
      <c r="F7" s="17" t="n"/>
      <c r="G7" s="17" t="n"/>
      <c r="H7" s="17" t="n"/>
    </row>
    <row r="8">
      <c r="A8" s="18" t="inlineStr">
        <is>
          <t>Total Debt Service</t>
        </is>
      </c>
      <c r="B8" s="25">
        <f>INDEX(T12_PL!$O:$O,MATCH("Total Debt Service",T12_PL!$B:$B,0))</f>
        <v/>
      </c>
      <c r="C8" s="20" t="n"/>
      <c r="D8" s="20" t="n"/>
      <c r="E8" s="20" t="n"/>
      <c r="F8" s="20" t="n"/>
      <c r="G8" s="20" t="n"/>
      <c r="H8" s="20" t="n"/>
    </row>
    <row r="9">
      <c r="A9" s="14" t="inlineStr">
        <is>
          <t>CASH FLOW AFTER DEBT SERVICE</t>
        </is>
      </c>
      <c r="B9" s="15">
        <f>INDEX(T12_PL!$O:$O,MATCH("CASH FLOW AFTER DEBT SERVICE",T12_PL!$B:$B,0))</f>
        <v/>
      </c>
      <c r="C9" s="17" t="n"/>
      <c r="D9" s="17" t="n"/>
      <c r="E9" s="17" t="n"/>
      <c r="F9" s="17" t="n"/>
      <c r="G9" s="17" t="n"/>
      <c r="H9" s="17" t="n"/>
    </row>
    <row r="10">
      <c r="A10" s="18" t="inlineStr">
        <is>
          <t>Total Capital Expenditures</t>
        </is>
      </c>
      <c r="B10" s="25">
        <f>INDEX(T12_PL!$O:$O,MATCH("Total Capital Expenditures",T12_PL!$B:$B,0))</f>
        <v/>
      </c>
      <c r="C10" s="20" t="n"/>
      <c r="D10" s="20" t="n"/>
      <c r="E10" s="20" t="n"/>
      <c r="F10" s="20" t="n"/>
      <c r="G10" s="20" t="n"/>
      <c r="H10" s="20" t="n"/>
    </row>
    <row r="11">
      <c r="A11" s="14" t="inlineStr">
        <is>
          <t>NET CASH FLOW</t>
        </is>
      </c>
      <c r="B11" s="15">
        <f>INDEX(T12_PL!$O:$O,MATCH("NET CASH FLOW",T12_PL!$B:$B,0))</f>
        <v/>
      </c>
      <c r="C11" s="17" t="n"/>
      <c r="D11" s="17" t="n"/>
      <c r="E11" s="17" t="n"/>
      <c r="F11" s="17" t="n"/>
      <c r="G11" s="17" t="n"/>
      <c r="H11" s="17" t="n"/>
    </row>
    <row r="12"/>
    <row r="13" ht="20" customHeight="1">
      <c r="A13" s="6" t="inlineStr">
        <is>
          <t>DISTRIBUTION WATERFALL</t>
        </is>
      </c>
      <c r="B13" s="6" t="n"/>
      <c r="C13" s="6" t="n"/>
      <c r="D13" s="6" t="n"/>
      <c r="E13" s="6" t="n"/>
      <c r="F13" s="6" t="n"/>
      <c r="G13" s="6" t="n"/>
      <c r="H13" s="6" t="n"/>
    </row>
    <row r="14" ht="20" customHeight="1">
      <c r="A14" s="7" t="inlineStr"/>
      <c r="B14" s="7" t="inlineStr">
        <is>
          <t>Amount</t>
        </is>
      </c>
      <c r="C14" s="7" t="inlineStr">
        <is>
          <t>% of NCF</t>
        </is>
      </c>
      <c r="D14" s="7" t="inlineStr">
        <is>
          <t>Notes</t>
        </is>
      </c>
      <c r="E14" s="7" t="inlineStr"/>
      <c r="F14" s="7" t="inlineStr"/>
      <c r="G14" s="7" t="inlineStr"/>
      <c r="H14" s="7" t="inlineStr"/>
    </row>
    <row r="15">
      <c r="A15" s="14" t="inlineStr">
        <is>
          <t>Available for Distribution (NCF)</t>
        </is>
      </c>
      <c r="B15" s="15">
        <f>INDEX(T12_PL!$O:$O,MATCH("NET CASH FLOW",T12_PL!$B:$B,0))</f>
        <v/>
      </c>
      <c r="C15" s="17" t="n"/>
      <c r="D15" s="17" t="n"/>
      <c r="E15" s="17" t="n"/>
      <c r="F15" s="17" t="n"/>
      <c r="G15" s="17" t="n"/>
      <c r="H15" s="17" t="n"/>
    </row>
    <row r="16"/>
    <row r="17">
      <c r="A17" s="21" t="inlineStr">
        <is>
          <t>Preferred Return (NOAH)</t>
        </is>
      </c>
      <c r="B17" s="26">
        <f>MIN(C15*0.9,B15*0.0525)</f>
        <v/>
      </c>
      <c r="C17" s="8" t="inlineStr">
        <is>
          <t>5.25% pref on 90% equity</t>
        </is>
      </c>
      <c r="D17" s="23" t="n"/>
      <c r="E17" s="23" t="n"/>
      <c r="F17" s="23" t="n"/>
      <c r="G17" s="23" t="n"/>
      <c r="H17" s="23" t="n"/>
    </row>
    <row r="18">
      <c r="A18" s="27" t="inlineStr">
        <is>
          <t>Remaining After Pref</t>
        </is>
      </c>
      <c r="B18" s="28">
        <f>MAX(B15-B17,0)</f>
        <v/>
      </c>
      <c r="C18" s="29" t="n"/>
      <c r="D18" s="29" t="n"/>
      <c r="E18" s="29" t="n"/>
      <c r="F18" s="29" t="n"/>
      <c r="G18" s="29" t="n"/>
      <c r="H18" s="29" t="n"/>
    </row>
    <row r="19"/>
    <row r="20" ht="20" customHeight="1">
      <c r="A20" s="6" t="inlineStr">
        <is>
          <t>PER-ENTITY ALLOCATIONS</t>
        </is>
      </c>
      <c r="B20" s="6" t="n"/>
      <c r="C20" s="6" t="n"/>
      <c r="D20" s="6" t="n"/>
      <c r="E20" s="6" t="n"/>
      <c r="F20" s="6" t="n"/>
      <c r="G20" s="6" t="n"/>
      <c r="H20" s="6" t="n"/>
    </row>
    <row r="21" ht="20" customHeight="1">
      <c r="A21" s="7" t="inlineStr">
        <is>
          <t>Entity</t>
        </is>
      </c>
      <c r="B21" s="7" t="inlineStr">
        <is>
          <t>Ownership %</t>
        </is>
      </c>
      <c r="C21" s="7" t="inlineStr">
        <is>
          <t>Equity</t>
        </is>
      </c>
      <c r="D21" s="7" t="inlineStr">
        <is>
          <t>NCF Share</t>
        </is>
      </c>
      <c r="E21" s="7" t="inlineStr">
        <is>
          <t>Ann. CoC</t>
        </is>
      </c>
      <c r="F21" s="7" t="inlineStr">
        <is>
          <t>Est. Value</t>
        </is>
      </c>
      <c r="G21" s="7" t="inlineStr"/>
      <c r="H21" s="7" t="inlineStr"/>
    </row>
    <row r="22">
      <c r="A22" s="13" t="inlineStr">
        <is>
          <t>Boxwood LLC</t>
        </is>
      </c>
      <c r="B22" s="34" t="n">
        <v>0.61674</v>
      </c>
      <c r="C22" s="32" t="n">
        <v>2799999.6</v>
      </c>
      <c r="D22" s="38">
        <f>B15*B22</f>
        <v/>
      </c>
      <c r="E22" s="45">
        <f>IF(C22&gt;0,D22/C22,0)</f>
        <v/>
      </c>
      <c r="F22" s="38">
        <f>15000000*B22</f>
        <v/>
      </c>
      <c r="G22" s="20" t="n"/>
      <c r="H22" s="20" t="n"/>
    </row>
    <row r="23">
      <c r="A23" s="9" t="inlineStr">
        <is>
          <t>Groves LP LLC</t>
        </is>
      </c>
      <c r="B23" s="34" t="n">
        <v>0.31718</v>
      </c>
      <c r="C23" s="32" t="n">
        <v>1439997.2</v>
      </c>
      <c r="D23" s="37">
        <f>B15*B23</f>
        <v/>
      </c>
      <c r="E23" s="47">
        <f>IF(C23&gt;0,D23/C23,0)</f>
        <v/>
      </c>
      <c r="F23" s="37">
        <f>15000000*B23</f>
        <v/>
      </c>
      <c r="G23" s="23" t="n"/>
      <c r="H23" s="23" t="n"/>
    </row>
    <row r="24">
      <c r="A24" s="13" t="inlineStr">
        <is>
          <t>E 2088</t>
        </is>
      </c>
      <c r="B24" s="34" t="n">
        <v>0.06608</v>
      </c>
      <c r="C24" s="32" t="n">
        <v>300003.2</v>
      </c>
      <c r="D24" s="38">
        <f>B15*B24</f>
        <v/>
      </c>
      <c r="E24" s="45">
        <f>IF(C24&gt;0,D24/C24,0)</f>
        <v/>
      </c>
      <c r="F24" s="38">
        <f>15000000*B24</f>
        <v/>
      </c>
      <c r="G24" s="20" t="n"/>
      <c r="H24" s="20" t="n"/>
    </row>
    <row r="25">
      <c r="A25" s="40" t="inlineStr">
        <is>
          <t>TOTAL</t>
        </is>
      </c>
      <c r="B25" s="48">
        <f>SUM(B22:B24)</f>
        <v/>
      </c>
      <c r="C25" s="41">
        <f>SUM(C22:C24)</f>
        <v/>
      </c>
      <c r="D25" s="41">
        <f>SUM(D22:D24)</f>
        <v/>
      </c>
      <c r="E25" s="48">
        <f>IF(C25&gt;0,D25/C25,0)</f>
        <v/>
      </c>
      <c r="F25" s="41">
        <f>SUM(F22:F24)</f>
        <v/>
      </c>
      <c r="G25" s="40" t="n"/>
      <c r="H25" s="40" t="n"/>
    </row>
    <row r="26"/>
    <row r="27" ht="20" customHeight="1">
      <c r="A27" s="6" t="inlineStr">
        <is>
          <t>KEY ASSUMPTIONS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18" t="inlineStr">
        <is>
          <t>Purchase Price</t>
        </is>
      </c>
      <c r="B28" s="25" t="n">
        <v>12000000</v>
      </c>
      <c r="C28" s="20" t="n"/>
      <c r="D28" s="20" t="n"/>
      <c r="E28" s="20" t="n"/>
      <c r="F28" s="20" t="n"/>
      <c r="G28" s="20" t="n"/>
      <c r="H28" s="20" t="n"/>
    </row>
    <row r="29">
      <c r="A29" s="21" t="inlineStr">
        <is>
          <t>Total Equity</t>
        </is>
      </c>
      <c r="B29" s="26" t="n">
        <v>4540000</v>
      </c>
      <c r="C29" s="23" t="n"/>
      <c r="D29" s="23" t="n"/>
      <c r="E29" s="23" t="n"/>
      <c r="F29" s="23" t="n"/>
      <c r="G29" s="23" t="n"/>
      <c r="H29" s="23" t="n"/>
    </row>
    <row r="30">
      <c r="A30" s="18" t="inlineStr">
        <is>
          <t>BOV Midpoint</t>
        </is>
      </c>
      <c r="B30" s="25" t="n">
        <v>15000000</v>
      </c>
      <c r="C30" s="20" t="n"/>
      <c r="D30" s="20" t="n"/>
      <c r="E30" s="20" t="n"/>
      <c r="F30" s="20" t="n"/>
      <c r="G30" s="20" t="n"/>
      <c r="H30" s="20" t="n"/>
    </row>
    <row r="31">
      <c r="A31" s="21" t="inlineStr">
        <is>
          <t>NOAH Pref Return</t>
        </is>
      </c>
      <c r="B31" s="22" t="n">
        <v>0.0525</v>
      </c>
      <c r="C31" s="23" t="n"/>
      <c r="D31" s="23" t="n"/>
      <c r="E31" s="23" t="n"/>
      <c r="F31" s="23" t="n"/>
      <c r="G31" s="23" t="n"/>
      <c r="H31" s="23" t="n"/>
    </row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14" customWidth="1" min="3" max="3"/>
    <col width="16" customWidth="1" min="4" max="4"/>
    <col width="18" customWidth="1" min="5" max="5"/>
    <col width="18" customWidth="1" min="6" max="6"/>
    <col width="14" customWidth="1" min="7" max="7"/>
    <col width="18" customWidth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TIC Ownership &amp; Returns</t>
        </is>
      </c>
      <c r="B1" s="3" t="n"/>
      <c r="C1" s="3" t="n"/>
      <c r="D1" s="3" t="n"/>
      <c r="E1" s="3" t="n"/>
      <c r="F1" s="3" t="n"/>
      <c r="G1" s="3" t="n"/>
      <c r="H1" s="3" t="n"/>
    </row>
    <row r="2" ht="18" customHeight="1">
      <c r="A2" s="4" t="inlineStr">
        <is>
          <t>Tenants in Common  |  3 Co-owners  |  $4,540,000 Total Equity</t>
        </is>
      </c>
      <c r="B2" s="5" t="n"/>
      <c r="C2" s="5" t="n"/>
      <c r="D2" s="5" t="n"/>
      <c r="E2" s="5" t="n"/>
      <c r="F2" s="5" t="n"/>
      <c r="G2" s="5" t="n"/>
      <c r="H2" s="5" t="n"/>
    </row>
    <row r="3" ht="20" customHeight="1">
      <c r="A3" s="7" t="inlineStr">
        <is>
          <t>Entity</t>
        </is>
      </c>
      <c r="B3" s="7" t="inlineStr"/>
      <c r="C3" s="7" t="inlineStr">
        <is>
          <t>Ownership %</t>
        </is>
      </c>
      <c r="D3" s="7" t="inlineStr">
        <is>
          <t>Equity Invested</t>
        </is>
      </c>
      <c r="E3" s="7" t="inlineStr">
        <is>
          <t>Annual NOI Share</t>
        </is>
      </c>
      <c r="F3" s="7" t="inlineStr">
        <is>
          <t>Annual CFADS Share</t>
        </is>
      </c>
      <c r="G3" s="7" t="inlineStr">
        <is>
          <t>Cash-on-Cash</t>
        </is>
      </c>
      <c r="H3" s="7" t="inlineStr">
        <is>
          <t>Est. Equity Value</t>
        </is>
      </c>
    </row>
    <row r="4">
      <c r="A4" s="13" t="inlineStr">
        <is>
          <t>Boxwood LLC</t>
        </is>
      </c>
      <c r="B4" s="20" t="n"/>
      <c r="C4" s="34" t="n">
        <v>0.61674</v>
      </c>
      <c r="D4" s="32" t="n">
        <v>2799999.6</v>
      </c>
      <c r="E4" s="38">
        <f>$C$21*C4</f>
        <v/>
      </c>
      <c r="F4" s="38">
        <f>$C$22*C4</f>
        <v/>
      </c>
      <c r="G4" s="45">
        <f>IF(D4&gt;0,F4/D4,0)</f>
        <v/>
      </c>
      <c r="H4" s="38">
        <f>$C$26*C4</f>
        <v/>
      </c>
    </row>
    <row r="5">
      <c r="A5" s="9" t="inlineStr">
        <is>
          <t>Groves LP LLC</t>
        </is>
      </c>
      <c r="B5" s="23" t="n"/>
      <c r="C5" s="34" t="n">
        <v>0.31718</v>
      </c>
      <c r="D5" s="32" t="n">
        <v>1439997.2</v>
      </c>
      <c r="E5" s="37">
        <f>$C$21*C5</f>
        <v/>
      </c>
      <c r="F5" s="37">
        <f>$C$22*C5</f>
        <v/>
      </c>
      <c r="G5" s="47">
        <f>IF(D5&gt;0,F5/D5,0)</f>
        <v/>
      </c>
      <c r="H5" s="37">
        <f>$C$26*C5</f>
        <v/>
      </c>
    </row>
    <row r="6">
      <c r="A6" s="13" t="inlineStr">
        <is>
          <t>E 2088</t>
        </is>
      </c>
      <c r="B6" s="20" t="n"/>
      <c r="C6" s="34" t="n">
        <v>0.06608</v>
      </c>
      <c r="D6" s="32" t="n">
        <v>300003.2</v>
      </c>
      <c r="E6" s="38">
        <f>$C$21*C6</f>
        <v/>
      </c>
      <c r="F6" s="38">
        <f>$C$22*C6</f>
        <v/>
      </c>
      <c r="G6" s="45">
        <f>IF(D6&gt;0,F6/D6,0)</f>
        <v/>
      </c>
      <c r="H6" s="38">
        <f>$C$26*C6</f>
        <v/>
      </c>
    </row>
    <row r="7">
      <c r="A7" s="40" t="inlineStr">
        <is>
          <t>TOTAL</t>
        </is>
      </c>
      <c r="B7" s="39" t="n"/>
      <c r="C7" s="48">
        <f>SUM(C4:C6)</f>
        <v/>
      </c>
      <c r="D7" s="41">
        <f>SUM(D4:D6)</f>
        <v/>
      </c>
      <c r="E7" s="41">
        <f>SUM(E4:E6)</f>
        <v/>
      </c>
      <c r="F7" s="41">
        <f>SUM(F4:F6)</f>
        <v/>
      </c>
      <c r="G7" s="48">
        <f>IF(D7&gt;0,F7/D7,0)</f>
        <v/>
      </c>
      <c r="H7" s="41">
        <f>SUM(H4:H6)</f>
        <v/>
      </c>
    </row>
    <row r="8"/>
    <row r="9" ht="20" customHeight="1">
      <c r="A9" s="6" t="inlineStr">
        <is>
          <t>PROPERTY SUMMARY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18" t="inlineStr">
        <is>
          <t>Property</t>
        </is>
      </c>
      <c r="B10" s="20" t="n"/>
      <c r="C10" s="12" t="inlineStr">
        <is>
          <t>The Groves Apartments</t>
        </is>
      </c>
      <c r="D10" s="20" t="n"/>
      <c r="E10" s="20" t="n"/>
      <c r="F10" s="20" t="n"/>
      <c r="G10" s="20" t="n"/>
      <c r="H10" s="20" t="n"/>
    </row>
    <row r="11">
      <c r="A11" s="21" t="inlineStr">
        <is>
          <t>Address</t>
        </is>
      </c>
      <c r="B11" s="23" t="n"/>
      <c r="C11" s="10" t="inlineStr">
        <is>
          <t>6800-6810 63rd Ave N, Brooklyn Park MN 55443</t>
        </is>
      </c>
      <c r="D11" s="23" t="n"/>
      <c r="E11" s="23" t="n"/>
      <c r="F11" s="23" t="n"/>
      <c r="G11" s="23" t="n"/>
      <c r="H11" s="23" t="n"/>
    </row>
    <row r="12">
      <c r="A12" s="18" t="inlineStr">
        <is>
          <t>Units</t>
        </is>
      </c>
      <c r="B12" s="20" t="n"/>
      <c r="C12" s="12" t="n">
        <v>120</v>
      </c>
      <c r="D12" s="20" t="n"/>
      <c r="E12" s="20" t="n"/>
      <c r="F12" s="20" t="n"/>
      <c r="G12" s="20" t="n"/>
      <c r="H12" s="20" t="n"/>
    </row>
    <row r="13">
      <c r="A13" s="21" t="inlineStr">
        <is>
          <t>Purchase Price</t>
        </is>
      </c>
      <c r="B13" s="23" t="n"/>
      <c r="C13" s="26" t="n">
        <v>12000000</v>
      </c>
      <c r="D13" s="23" t="n"/>
      <c r="E13" s="23" t="n"/>
      <c r="F13" s="23" t="n"/>
      <c r="G13" s="23" t="n"/>
      <c r="H13" s="23" t="n"/>
    </row>
    <row r="14">
      <c r="A14" s="18" t="inlineStr">
        <is>
          <t>Loan Balance</t>
        </is>
      </c>
      <c r="B14" s="20" t="n"/>
      <c r="C14" s="25" t="n">
        <v>8639141</v>
      </c>
      <c r="D14" s="20" t="n"/>
      <c r="E14" s="20" t="n"/>
      <c r="F14" s="20" t="n"/>
      <c r="G14" s="20" t="n"/>
      <c r="H14" s="20" t="n"/>
    </row>
    <row r="15"/>
    <row r="16" ht="20" customHeight="1">
      <c r="A16" s="6" t="inlineStr">
        <is>
          <t>T12 FINANCIALS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21" t="inlineStr">
        <is>
          <t>Gross Potential Rent</t>
        </is>
      </c>
      <c r="B17" s="23" t="n"/>
      <c r="C17" s="26">
        <f>INDEX(T12_PL!$O:$O,MATCH("Gross Potential Rent",T12_PL!$B:$B,0))</f>
        <v/>
      </c>
      <c r="D17" s="23" t="n"/>
      <c r="E17" s="23" t="n"/>
      <c r="F17" s="23" t="n"/>
      <c r="G17" s="23" t="n"/>
      <c r="H17" s="23" t="n"/>
    </row>
    <row r="18">
      <c r="A18" s="18" t="inlineStr">
        <is>
          <t>Effective Gross Income</t>
        </is>
      </c>
      <c r="B18" s="20" t="n"/>
      <c r="C18" s="25">
        <f>INDEX(T12_PL!$O:$O,MATCH("EFFECTIVE GROSS INCOME (EGI)",T12_PL!$B:$B,0))</f>
        <v/>
      </c>
      <c r="D18" s="20" t="n"/>
      <c r="E18" s="20" t="n"/>
      <c r="F18" s="20" t="n"/>
      <c r="G18" s="20" t="n"/>
      <c r="H18" s="20" t="n"/>
    </row>
    <row r="19">
      <c r="A19" s="21" t="inlineStr">
        <is>
          <t>Total Operating Expenses</t>
        </is>
      </c>
      <c r="B19" s="23" t="n"/>
      <c r="C19" s="26">
        <f>INDEX(T12_PL!$O:$O,MATCH("Total Operating Expenses",T12_PL!$B:$B,0))</f>
        <v/>
      </c>
      <c r="D19" s="23" t="n"/>
      <c r="E19" s="23" t="n"/>
      <c r="F19" s="23" t="n"/>
      <c r="G19" s="23" t="n"/>
      <c r="H19" s="23" t="n"/>
    </row>
    <row r="20">
      <c r="A20" s="18" t="inlineStr">
        <is>
          <t>Total Debt Service</t>
        </is>
      </c>
      <c r="B20" s="20" t="n"/>
      <c r="C20" s="25">
        <f>INDEX(T12_PL!$O:$O,MATCH("Total Debt Service",T12_PL!$B:$B,0))</f>
        <v/>
      </c>
      <c r="D20" s="20" t="n"/>
      <c r="E20" s="20" t="n"/>
      <c r="F20" s="20" t="n"/>
      <c r="G20" s="20" t="n"/>
      <c r="H20" s="20" t="n"/>
    </row>
    <row r="21">
      <c r="A21" s="14" t="inlineStr">
        <is>
          <t>NET OPERATING INCOME (NOI)</t>
        </is>
      </c>
      <c r="B21" s="17" t="n"/>
      <c r="C21" s="15">
        <f>INDEX(T12_PL!$O:$O,MATCH("NET OPERATING INCOME (NOI)",T12_PL!$B:$B,0))</f>
        <v/>
      </c>
      <c r="D21" s="17" t="n"/>
      <c r="E21" s="17" t="n"/>
      <c r="F21" s="17" t="n"/>
      <c r="G21" s="17" t="n"/>
      <c r="H21" s="17" t="n"/>
    </row>
    <row r="22">
      <c r="A22" s="14" t="inlineStr">
        <is>
          <t>Cash Flow After Debt Svc</t>
        </is>
      </c>
      <c r="B22" s="17" t="n"/>
      <c r="C22" s="15">
        <f>INDEX(T12_PL!$O:$O,MATCH("CASH FLOW AFTER DEBT SERVICE",T12_PL!$B:$B,0))</f>
        <v/>
      </c>
      <c r="D22" s="17" t="n"/>
      <c r="E22" s="17" t="n"/>
      <c r="F22" s="17" t="n"/>
      <c r="G22" s="17" t="n"/>
      <c r="H22" s="17" t="n"/>
    </row>
    <row r="23">
      <c r="A23" s="14" t="inlineStr">
        <is>
          <t>Net Cash Flow</t>
        </is>
      </c>
      <c r="B23" s="17" t="n"/>
      <c r="C23" s="15">
        <f>INDEX(T12_PL!$O:$O,MATCH("NET CASH FLOW",T12_PL!$B:$B,0))</f>
        <v/>
      </c>
      <c r="D23" s="17" t="n"/>
      <c r="E23" s="17" t="n"/>
      <c r="F23" s="17" t="n"/>
      <c r="G23" s="17" t="n"/>
      <c r="H23" s="17" t="n"/>
    </row>
    <row r="24"/>
    <row r="25" ht="20" customHeight="1">
      <c r="A25" s="6" t="inlineStr">
        <is>
          <t>VALUATION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18" t="inlineStr">
        <is>
          <t>BOV Midpoint</t>
        </is>
      </c>
      <c r="B26" s="20" t="n"/>
      <c r="C26" s="32" t="n">
        <v>15000000</v>
      </c>
      <c r="D26" s="20" t="n"/>
      <c r="E26" s="20" t="n"/>
      <c r="F26" s="20" t="n"/>
      <c r="G26" s="20" t="n"/>
      <c r="H26" s="20" t="n"/>
    </row>
    <row r="27">
      <c r="A27" s="18" t="inlineStr">
        <is>
          <t>Implied Cap Rate</t>
        </is>
      </c>
      <c r="B27" s="20" t="n"/>
      <c r="C27" s="45">
        <f>IF(C26&gt;0,C21/C26,0)</f>
        <v/>
      </c>
      <c r="D27" s="20" t="n"/>
      <c r="E27" s="20" t="n"/>
      <c r="F27" s="20" t="n"/>
      <c r="G27" s="20" t="n"/>
      <c r="H27" s="20" t="n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18" customWidth="1" min="4" max="4"/>
    <col width="16" customWidth="1" min="5" max="5"/>
    <col width="12" customWidth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Rent Roll Summary</t>
        </is>
      </c>
      <c r="B1" s="3" t="n"/>
      <c r="C1" s="3" t="n"/>
      <c r="D1" s="3" t="n"/>
      <c r="E1" s="3" t="n"/>
      <c r="F1" s="3" t="n"/>
    </row>
    <row r="2" ht="18" customHeight="1">
      <c r="A2" s="4" t="inlineStr">
        <is>
          <t>Current occupancy and rent statistics  |  120 total units</t>
        </is>
      </c>
      <c r="B2" s="5" t="n"/>
      <c r="C2" s="5" t="n"/>
      <c r="D2" s="5" t="n"/>
      <c r="E2" s="5" t="n"/>
      <c r="F2" s="5" t="n"/>
    </row>
    <row r="3" ht="20" customHeight="1">
      <c r="A3" s="6" t="inlineStr">
        <is>
          <t>OCCUPANCY &amp; RENT OVERVIEW</t>
        </is>
      </c>
      <c r="B3" s="6" t="n"/>
      <c r="C3" s="6" t="n"/>
      <c r="D3" s="6" t="n"/>
      <c r="E3" s="6" t="n"/>
      <c r="F3" s="6" t="n"/>
    </row>
    <row r="4" ht="20" customHeight="1">
      <c r="A4" s="7" t="inlineStr">
        <is>
          <t>Metric</t>
        </is>
      </c>
      <c r="B4" s="7" t="inlineStr"/>
      <c r="C4" s="7" t="inlineStr">
        <is>
          <t>Value</t>
        </is>
      </c>
      <c r="D4" s="7" t="inlineStr"/>
      <c r="E4" s="7" t="inlineStr">
        <is>
          <t>Notes</t>
        </is>
      </c>
      <c r="F4" s="7" t="inlineStr"/>
    </row>
    <row r="5">
      <c r="A5" s="21" t="inlineStr">
        <is>
          <t>Total Actual Rent</t>
        </is>
      </c>
      <c r="B5" s="23" t="n"/>
      <c r="C5" s="26">
        <f>'RR Input'!B124</f>
        <v/>
      </c>
      <c r="D5" s="23" t="n"/>
      <c r="E5" s="8" t="inlineStr">
        <is>
          <t>Ties to RR Input total</t>
        </is>
      </c>
      <c r="F5" s="23" t="n"/>
    </row>
    <row r="6">
      <c r="A6" s="18" t="inlineStr">
        <is>
          <t>Total Market Rent</t>
        </is>
      </c>
      <c r="B6" s="20" t="n"/>
      <c r="C6" s="25">
        <f>'RR Input'!C124</f>
        <v/>
      </c>
      <c r="D6" s="20" t="n"/>
      <c r="E6" s="20" t="n"/>
      <c r="F6" s="20" t="n"/>
    </row>
    <row r="7">
      <c r="A7" s="21" t="inlineStr">
        <is>
          <t>Total Units</t>
        </is>
      </c>
      <c r="B7" s="23" t="n"/>
      <c r="C7" s="49" t="n">
        <v>120</v>
      </c>
      <c r="D7" s="23" t="n"/>
      <c r="E7" s="23" t="n"/>
      <c r="F7" s="23" t="n"/>
    </row>
    <row r="8">
      <c r="A8" s="18" t="inlineStr">
        <is>
          <t>Occupied Units</t>
        </is>
      </c>
      <c r="B8" s="20" t="n"/>
      <c r="C8" s="50">
        <f>COUNTIF('RR Input'!D2:D121,"&gt;0")</f>
        <v/>
      </c>
      <c r="D8" s="20" t="n"/>
      <c r="E8" s="20" t="n"/>
      <c r="F8" s="20" t="n"/>
    </row>
    <row r="9">
      <c r="A9" s="21" t="inlineStr">
        <is>
          <t>Vacancy Count</t>
        </is>
      </c>
      <c r="B9" s="23" t="n"/>
      <c r="C9" s="49">
        <f>120-D8</f>
        <v/>
      </c>
      <c r="D9" s="23" t="n"/>
      <c r="E9" s="8" t="inlineStr">
        <is>
          <t>Uses cell above</t>
        </is>
      </c>
      <c r="F9" s="23" t="n"/>
    </row>
    <row r="10">
      <c r="A10" s="18" t="inlineStr">
        <is>
          <t>Occupancy Rate</t>
        </is>
      </c>
      <c r="B10" s="20" t="n"/>
      <c r="C10" s="24">
        <f>IF(120&gt;0,D8/120,0)</f>
        <v/>
      </c>
      <c r="D10" s="20" t="n"/>
      <c r="E10" s="20" t="n"/>
      <c r="F10" s="20" t="n"/>
    </row>
    <row r="11"/>
    <row r="12" ht="20" customHeight="1">
      <c r="A12" s="6" t="inlineStr">
        <is>
          <t>BY UNIT TYPE</t>
        </is>
      </c>
      <c r="B12" s="6" t="n"/>
      <c r="C12" s="6" t="n"/>
      <c r="D12" s="6" t="n"/>
      <c r="E12" s="6" t="n"/>
      <c r="F12" s="6" t="n"/>
    </row>
    <row r="13" ht="20" customHeight="1">
      <c r="A13" s="7" t="inlineStr">
        <is>
          <t>Type</t>
        </is>
      </c>
      <c r="B13" s="7" t="inlineStr">
        <is>
          <t>Units</t>
        </is>
      </c>
      <c r="C13" s="7" t="inlineStr">
        <is>
          <t>Avg Actual Rent</t>
        </is>
      </c>
      <c r="D13" s="7" t="inlineStr">
        <is>
          <t>Avg Market Rent</t>
        </is>
      </c>
      <c r="E13" s="7" t="inlineStr">
        <is>
          <t>LTM Gap</t>
        </is>
      </c>
      <c r="F13" s="7" t="inlineStr">
        <is>
          <t>Occ %</t>
        </is>
      </c>
    </row>
    <row r="14">
      <c r="A14" s="18" t="inlineStr">
        <is>
          <t>1BR</t>
        </is>
      </c>
      <c r="B14" s="12" t="n">
        <v>60</v>
      </c>
      <c r="C14" s="38" t="n">
        <v>1350</v>
      </c>
      <c r="D14" s="38" t="n">
        <v>1350</v>
      </c>
      <c r="E14" s="38">
        <f>D14-C14</f>
        <v/>
      </c>
      <c r="F14" s="20" t="n"/>
    </row>
    <row r="15">
      <c r="A15" s="21" t="inlineStr">
        <is>
          <t>2BR</t>
        </is>
      </c>
      <c r="B15" s="10" t="n">
        <v>60</v>
      </c>
      <c r="C15" s="37" t="n">
        <v>1550</v>
      </c>
      <c r="D15" s="37" t="n">
        <v>1550</v>
      </c>
      <c r="E15" s="37">
        <f>D15-C15</f>
        <v/>
      </c>
      <c r="F15" s="23" t="n"/>
    </row>
    <row r="16"/>
    <row r="17" ht="20" customHeight="1">
      <c r="A17" s="6" t="inlineStr">
        <is>
          <t>ESCROW ACCOUNTS</t>
        </is>
      </c>
      <c r="B17" s="6" t="n"/>
      <c r="C17" s="6" t="n"/>
      <c r="D17" s="6" t="n"/>
      <c r="E17" s="6" t="n"/>
      <c r="F17" s="6" t="n"/>
    </row>
    <row r="18" ht="20" customHeight="1">
      <c r="A18" s="7" t="inlineStr">
        <is>
          <t>Account</t>
        </is>
      </c>
      <c r="B18" s="7" t="inlineStr"/>
      <c r="C18" s="7" t="inlineStr">
        <is>
          <t>Name</t>
        </is>
      </c>
      <c r="D18" s="7" t="inlineStr"/>
      <c r="E18" s="7" t="inlineStr"/>
      <c r="F18" s="7" t="inlineStr"/>
    </row>
    <row r="19">
      <c r="A19" s="8" t="n">
        <v>1</v>
      </c>
      <c r="B19" s="23" t="n"/>
      <c r="C19" s="10" t="inlineStr">
        <is>
          <t>Real Estate Taxes</t>
        </is>
      </c>
      <c r="D19" s="23" t="n"/>
      <c r="E19" s="23" t="n"/>
      <c r="F19" s="23" t="n"/>
    </row>
    <row r="20">
      <c r="A20" s="11" t="n">
        <v>2</v>
      </c>
      <c r="B20" s="20" t="n"/>
      <c r="C20" s="12" t="inlineStr">
        <is>
          <t>Property Insurance</t>
        </is>
      </c>
      <c r="D20" s="20" t="n"/>
      <c r="E20" s="20" t="n"/>
      <c r="F20" s="20" t="n"/>
    </row>
    <row r="21">
      <c r="A21" s="8" t="n">
        <v>3</v>
      </c>
      <c r="B21" s="23" t="n"/>
      <c r="C21" s="10" t="inlineStr">
        <is>
          <t>Capital Reserves</t>
        </is>
      </c>
      <c r="D21" s="23" t="n"/>
      <c r="E21" s="23" t="n"/>
      <c r="F21" s="23" t="n"/>
    </row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Rent Roll Input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8" customHeight="1">
      <c r="A2" s="4" t="inlineStr">
        <is>
          <t>Unit-by-unit rent history  |  120 units  |  17 months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 ht="20" customHeight="1">
      <c r="A3" s="7" t="inlineStr">
        <is>
          <t>Unit</t>
        </is>
      </c>
      <c r="B3" s="7" t="inlineStr">
        <is>
          <t>Actual Rent</t>
        </is>
      </c>
      <c r="C3" s="7" t="inlineStr">
        <is>
          <t>Market Rent</t>
        </is>
      </c>
      <c r="D3" s="7" t="inlineStr">
        <is>
          <t>LTM Gap</t>
        </is>
      </c>
      <c r="E3" s="7" t="inlineStr">
        <is>
          <t>2024-08-01</t>
        </is>
      </c>
      <c r="F3" s="7" t="inlineStr">
        <is>
          <t>2024-09-01</t>
        </is>
      </c>
      <c r="G3" s="7" t="inlineStr">
        <is>
          <t>2024-10-01</t>
        </is>
      </c>
      <c r="H3" s="7" t="inlineStr">
        <is>
          <t>2024-11-01</t>
        </is>
      </c>
      <c r="I3" s="7" t="inlineStr">
        <is>
          <t>2024-12-01</t>
        </is>
      </c>
      <c r="J3" s="7" t="inlineStr">
        <is>
          <t>2025-01-01</t>
        </is>
      </c>
      <c r="K3" s="7" t="inlineStr">
        <is>
          <t>2025-02-01</t>
        </is>
      </c>
      <c r="L3" s="7" t="inlineStr">
        <is>
          <t>2025-03-01</t>
        </is>
      </c>
      <c r="M3" s="7" t="inlineStr">
        <is>
          <t>2025-04-01</t>
        </is>
      </c>
      <c r="N3" s="7" t="inlineStr">
        <is>
          <t>2025-05-01</t>
        </is>
      </c>
      <c r="O3" s="7" t="inlineStr">
        <is>
          <t>2025-06-01</t>
        </is>
      </c>
      <c r="P3" s="7" t="inlineStr">
        <is>
          <t>2025-07-01</t>
        </is>
      </c>
      <c r="Q3" s="7" t="inlineStr">
        <is>
          <t>2025-08-01</t>
        </is>
      </c>
      <c r="R3" s="7" t="inlineStr">
        <is>
          <t>2025-09-01</t>
        </is>
      </c>
      <c r="S3" s="7" t="inlineStr">
        <is>
          <t>2025-10-01</t>
        </is>
      </c>
      <c r="T3" s="7" t="inlineStr">
        <is>
          <t>2025-11-01</t>
        </is>
      </c>
      <c r="U3" s="7" t="inlineStr">
        <is>
          <t>2025-12-01</t>
        </is>
      </c>
    </row>
    <row r="4">
      <c r="A4" s="11" t="inlineStr">
        <is>
          <t>00-101</t>
        </is>
      </c>
      <c r="B4" s="38">
        <f>U4</f>
        <v/>
      </c>
      <c r="C4" s="51" t="n">
        <v>1450</v>
      </c>
      <c r="D4" s="38">
        <f>C4-B4</f>
        <v/>
      </c>
      <c r="E4" s="38" t="n">
        <v>1175</v>
      </c>
      <c r="F4" s="38" t="n">
        <v>1175</v>
      </c>
      <c r="G4" s="38" t="n">
        <v>1175</v>
      </c>
      <c r="H4" s="38" t="n">
        <v>1175</v>
      </c>
      <c r="I4" s="38" t="n">
        <v>1175</v>
      </c>
      <c r="J4" s="38" t="n">
        <v>1175</v>
      </c>
      <c r="K4" s="38" t="n">
        <v>1175</v>
      </c>
      <c r="L4" s="38" t="n">
        <v>1175</v>
      </c>
      <c r="M4" s="38" t="n">
        <v>1175</v>
      </c>
      <c r="N4" s="38" t="n">
        <v>1200</v>
      </c>
      <c r="O4" s="38" t="n">
        <v>1200</v>
      </c>
      <c r="P4" s="38" t="n">
        <v>1200</v>
      </c>
      <c r="Q4" s="38" t="n">
        <v>1200</v>
      </c>
      <c r="R4" s="38" t="n">
        <v>1200</v>
      </c>
      <c r="S4" s="38" t="n">
        <v>1200</v>
      </c>
      <c r="T4" s="38" t="n">
        <v>1200</v>
      </c>
      <c r="U4" s="38" t="n">
        <v>1200</v>
      </c>
    </row>
    <row r="5">
      <c r="A5" s="8" t="inlineStr">
        <is>
          <t>00-102</t>
        </is>
      </c>
      <c r="B5" s="37">
        <f>U5</f>
        <v/>
      </c>
      <c r="C5" s="52" t="n">
        <v>1450</v>
      </c>
      <c r="D5" s="37">
        <f>C5-B5</f>
        <v/>
      </c>
      <c r="E5" s="37" t="n">
        <v>1350</v>
      </c>
      <c r="F5" s="37" t="n">
        <v>1350</v>
      </c>
      <c r="G5" s="37" t="n">
        <v>1350</v>
      </c>
      <c r="H5" s="37" t="n">
        <v>1350</v>
      </c>
      <c r="I5" s="37" t="n">
        <v>1350</v>
      </c>
      <c r="J5" s="37" t="n">
        <v>1350</v>
      </c>
      <c r="K5" s="37" t="n">
        <v>1350</v>
      </c>
      <c r="L5" s="37" t="inlineStr"/>
      <c r="M5" s="37" t="n">
        <v>1500</v>
      </c>
      <c r="N5" s="37" t="n">
        <v>1500</v>
      </c>
      <c r="O5" s="37" t="n">
        <v>1500</v>
      </c>
      <c r="P5" s="37" t="n">
        <v>1500</v>
      </c>
      <c r="Q5" s="37" t="n">
        <v>1500</v>
      </c>
      <c r="R5" s="37" t="n">
        <v>1500</v>
      </c>
      <c r="S5" s="37" t="n">
        <v>1500</v>
      </c>
      <c r="T5" s="37" t="n">
        <v>1500</v>
      </c>
      <c r="U5" s="37" t="n">
        <v>1500</v>
      </c>
    </row>
    <row r="6">
      <c r="A6" s="11" t="inlineStr">
        <is>
          <t>00-103</t>
        </is>
      </c>
      <c r="B6" s="38">
        <f>U6</f>
        <v/>
      </c>
      <c r="C6" s="51" t="n">
        <v>1450</v>
      </c>
      <c r="D6" s="38">
        <f>C6-B6</f>
        <v/>
      </c>
      <c r="E6" s="38" t="n">
        <v>1025</v>
      </c>
      <c r="F6" s="38" t="n">
        <v>1025</v>
      </c>
      <c r="G6" s="38" t="n">
        <v>1025</v>
      </c>
      <c r="H6" s="38" t="n">
        <v>1025</v>
      </c>
      <c r="I6" s="38" t="n">
        <v>1025</v>
      </c>
      <c r="J6" s="38" t="n">
        <v>1025</v>
      </c>
      <c r="K6" s="38" t="n">
        <v>1025</v>
      </c>
      <c r="L6" s="38" t="n">
        <v>1025</v>
      </c>
      <c r="M6" s="38" t="n">
        <v>1025</v>
      </c>
      <c r="N6" s="38" t="inlineStr"/>
      <c r="O6" s="38" t="inlineStr"/>
      <c r="P6" s="38" t="n">
        <v>1300</v>
      </c>
      <c r="Q6" s="38" t="n">
        <v>1300</v>
      </c>
      <c r="R6" s="38" t="n">
        <v>1300</v>
      </c>
      <c r="S6" s="38" t="n">
        <v>1300</v>
      </c>
      <c r="T6" s="38" t="n">
        <v>1300</v>
      </c>
      <c r="U6" s="38" t="n">
        <v>1300</v>
      </c>
    </row>
    <row r="7">
      <c r="A7" s="8" t="inlineStr">
        <is>
          <t>00-104</t>
        </is>
      </c>
      <c r="B7" s="37">
        <f>U7</f>
        <v/>
      </c>
      <c r="C7" s="52" t="n">
        <v>1450</v>
      </c>
      <c r="D7" s="37">
        <f>C7-B7</f>
        <v/>
      </c>
      <c r="E7" s="37" t="n">
        <v>1150</v>
      </c>
      <c r="F7" s="37" t="n">
        <v>1150</v>
      </c>
      <c r="G7" s="37" t="n">
        <v>1150</v>
      </c>
      <c r="H7" s="37" t="n">
        <v>1150</v>
      </c>
      <c r="I7" s="37" t="inlineStr"/>
      <c r="J7" s="37" t="n">
        <v>1250</v>
      </c>
      <c r="K7" s="37" t="n">
        <v>1250</v>
      </c>
      <c r="L7" s="37" t="n">
        <v>1250</v>
      </c>
      <c r="M7" s="37" t="n">
        <v>1250</v>
      </c>
      <c r="N7" s="37" t="n">
        <v>1250</v>
      </c>
      <c r="O7" s="37" t="n">
        <v>1300</v>
      </c>
      <c r="P7" s="37" t="n">
        <v>1325</v>
      </c>
      <c r="Q7" s="37" t="n">
        <v>1325</v>
      </c>
      <c r="R7" s="37" t="n">
        <v>1300</v>
      </c>
      <c r="S7" s="37" t="n">
        <v>1300</v>
      </c>
      <c r="T7" s="37" t="n">
        <v>1300</v>
      </c>
      <c r="U7" s="37" t="n">
        <v>1300</v>
      </c>
    </row>
    <row r="8">
      <c r="A8" s="11" t="inlineStr">
        <is>
          <t>00-105</t>
        </is>
      </c>
      <c r="B8" s="38">
        <f>U8</f>
        <v/>
      </c>
      <c r="C8" s="51" t="n">
        <v>1450</v>
      </c>
      <c r="D8" s="38">
        <f>C8-B8</f>
        <v/>
      </c>
      <c r="E8" s="38" t="n">
        <v>1265</v>
      </c>
      <c r="F8" s="38" t="n">
        <v>1265</v>
      </c>
      <c r="G8" s="38" t="n">
        <v>1265</v>
      </c>
      <c r="H8" s="38" t="n">
        <v>1265</v>
      </c>
      <c r="I8" s="38" t="n">
        <v>1265</v>
      </c>
      <c r="J8" s="38" t="n">
        <v>1265</v>
      </c>
      <c r="K8" s="38" t="n">
        <v>1265</v>
      </c>
      <c r="L8" s="38" t="n">
        <v>1265</v>
      </c>
      <c r="M8" s="38" t="n">
        <v>1265</v>
      </c>
      <c r="N8" s="38" t="n">
        <v>1265</v>
      </c>
      <c r="O8" s="38" t="n">
        <v>1265</v>
      </c>
      <c r="P8" s="38" t="n">
        <v>1265</v>
      </c>
      <c r="Q8" s="38" t="n">
        <v>1265</v>
      </c>
      <c r="R8" s="38" t="n">
        <v>1265</v>
      </c>
      <c r="S8" s="38" t="n">
        <v>1265</v>
      </c>
      <c r="T8" s="38" t="n">
        <v>1265</v>
      </c>
      <c r="U8" s="38" t="n">
        <v>1265</v>
      </c>
    </row>
    <row r="9">
      <c r="A9" s="8" t="inlineStr">
        <is>
          <t>00-106</t>
        </is>
      </c>
      <c r="B9" s="37">
        <f>U9</f>
        <v/>
      </c>
      <c r="C9" s="52" t="n">
        <v>1450</v>
      </c>
      <c r="D9" s="37">
        <f>C9-B9</f>
        <v/>
      </c>
      <c r="E9" s="37" t="n">
        <v>1275</v>
      </c>
      <c r="F9" s="37" t="n">
        <v>1275</v>
      </c>
      <c r="G9" s="37" t="n">
        <v>1275</v>
      </c>
      <c r="H9" s="37" t="n">
        <v>1275</v>
      </c>
      <c r="I9" s="37" t="n">
        <v>1275</v>
      </c>
      <c r="J9" s="37" t="n">
        <v>1275</v>
      </c>
      <c r="K9" s="37" t="n">
        <v>1275</v>
      </c>
      <c r="L9" s="37" t="inlineStr"/>
      <c r="M9" s="37" t="n">
        <v>1300</v>
      </c>
      <c r="N9" s="37" t="n">
        <v>1300</v>
      </c>
      <c r="O9" s="37" t="n">
        <v>1300</v>
      </c>
      <c r="P9" s="37" t="n">
        <v>1300</v>
      </c>
      <c r="Q9" s="37" t="n">
        <v>1300</v>
      </c>
      <c r="R9" s="37" t="n">
        <v>1300</v>
      </c>
      <c r="S9" s="37" t="n">
        <v>1250</v>
      </c>
      <c r="T9" s="37" t="n">
        <v>1250</v>
      </c>
      <c r="U9" s="37" t="n">
        <v>1250</v>
      </c>
    </row>
    <row r="10">
      <c r="A10" s="11" t="inlineStr">
        <is>
          <t>00-107</t>
        </is>
      </c>
      <c r="B10" s="38">
        <f>U10</f>
        <v/>
      </c>
      <c r="C10" s="51" t="n">
        <v>1450</v>
      </c>
      <c r="D10" s="38">
        <f>C10-B10</f>
        <v/>
      </c>
      <c r="E10" s="38" t="n">
        <v>1000</v>
      </c>
      <c r="F10" s="38" t="n">
        <v>1000</v>
      </c>
      <c r="G10" s="38" t="n">
        <v>1000</v>
      </c>
      <c r="H10" s="38" t="n">
        <v>1000</v>
      </c>
      <c r="I10" s="38" t="n">
        <v>1000</v>
      </c>
      <c r="J10" s="38" t="n">
        <v>1000</v>
      </c>
      <c r="K10" s="38" t="n">
        <v>1000</v>
      </c>
      <c r="L10" s="38" t="n">
        <v>1000</v>
      </c>
      <c r="M10" s="38" t="n">
        <v>1000</v>
      </c>
      <c r="N10" s="38" t="n">
        <v>1000</v>
      </c>
      <c r="O10" s="38" t="n">
        <v>1000</v>
      </c>
      <c r="P10" s="38" t="n">
        <v>1000</v>
      </c>
      <c r="Q10" s="38" t="n">
        <v>1000</v>
      </c>
      <c r="R10" s="38" t="n">
        <v>1000</v>
      </c>
      <c r="S10" s="38" t="n">
        <v>1000</v>
      </c>
      <c r="T10" s="38" t="n">
        <v>1000</v>
      </c>
      <c r="U10" s="38" t="n">
        <v>1000</v>
      </c>
    </row>
    <row r="11">
      <c r="A11" s="8" t="inlineStr">
        <is>
          <t>00-108</t>
        </is>
      </c>
      <c r="B11" s="37">
        <f>U11</f>
        <v/>
      </c>
      <c r="C11" s="52" t="n">
        <v>1450</v>
      </c>
      <c r="D11" s="37">
        <f>C11-B11</f>
        <v/>
      </c>
      <c r="E11" s="37" t="n">
        <v>1375</v>
      </c>
      <c r="F11" s="37" t="n">
        <v>1375</v>
      </c>
      <c r="G11" s="37" t="n">
        <v>1375</v>
      </c>
      <c r="H11" s="37" t="n">
        <v>1375</v>
      </c>
      <c r="I11" s="37" t="n">
        <v>1375</v>
      </c>
      <c r="J11" s="37" t="n">
        <v>1375</v>
      </c>
      <c r="K11" s="37" t="n">
        <v>1375</v>
      </c>
      <c r="L11" s="37" t="n">
        <v>1375</v>
      </c>
      <c r="M11" s="37" t="n">
        <v>1375</v>
      </c>
      <c r="N11" s="37" t="n">
        <v>1375</v>
      </c>
      <c r="O11" s="37" t="n">
        <v>1375</v>
      </c>
      <c r="P11" s="37" t="inlineStr"/>
      <c r="Q11" s="37" t="n">
        <v>1500</v>
      </c>
      <c r="R11" s="37" t="n">
        <v>1500</v>
      </c>
      <c r="S11" s="37" t="n">
        <v>1500</v>
      </c>
      <c r="T11" s="37" t="n">
        <v>1500</v>
      </c>
      <c r="U11" s="37" t="n">
        <v>1500</v>
      </c>
    </row>
    <row r="12">
      <c r="A12" s="11" t="inlineStr">
        <is>
          <t>00-201</t>
        </is>
      </c>
      <c r="B12" s="38">
        <f>U12</f>
        <v/>
      </c>
      <c r="C12" s="51" t="n">
        <v>1450</v>
      </c>
      <c r="D12" s="38">
        <f>C12-B12</f>
        <v/>
      </c>
      <c r="E12" s="38" t="n">
        <v>1250</v>
      </c>
      <c r="F12" s="38" t="n">
        <v>1250</v>
      </c>
      <c r="G12" s="38" t="n">
        <v>1250</v>
      </c>
      <c r="H12" s="38" t="n">
        <v>1250</v>
      </c>
      <c r="I12" s="38" t="n">
        <v>1250</v>
      </c>
      <c r="J12" s="38" t="n">
        <v>1250</v>
      </c>
      <c r="K12" s="38" t="n">
        <v>1250</v>
      </c>
      <c r="L12" s="38" t="n">
        <v>1325</v>
      </c>
      <c r="M12" s="38" t="n">
        <v>1325</v>
      </c>
      <c r="N12" s="38" t="n">
        <v>1275</v>
      </c>
      <c r="O12" s="38" t="n">
        <v>1275</v>
      </c>
      <c r="P12" s="38" t="n">
        <v>1275</v>
      </c>
      <c r="Q12" s="38" t="n">
        <v>1275</v>
      </c>
      <c r="R12" s="38" t="n">
        <v>1275</v>
      </c>
      <c r="S12" s="38" t="n">
        <v>1275</v>
      </c>
      <c r="T12" s="38" t="n">
        <v>1275</v>
      </c>
      <c r="U12" s="38" t="n">
        <v>1275</v>
      </c>
    </row>
    <row r="13">
      <c r="A13" s="8" t="inlineStr">
        <is>
          <t>00-202</t>
        </is>
      </c>
      <c r="B13" s="37">
        <f>U13</f>
        <v/>
      </c>
      <c r="C13" s="52" t="n">
        <v>1450</v>
      </c>
      <c r="D13" s="37">
        <f>C13-B13</f>
        <v/>
      </c>
      <c r="E13" s="37" t="n">
        <v>1325</v>
      </c>
      <c r="F13" s="37" t="n">
        <v>1325</v>
      </c>
      <c r="G13" s="37" t="n">
        <v>1325</v>
      </c>
      <c r="H13" s="37" t="n">
        <v>1325</v>
      </c>
      <c r="I13" s="37" t="n">
        <v>1500</v>
      </c>
      <c r="J13" s="37" t="n">
        <v>1500</v>
      </c>
      <c r="K13" s="37" t="n">
        <v>1500</v>
      </c>
      <c r="L13" s="37" t="n">
        <v>1500</v>
      </c>
      <c r="M13" s="37" t="n">
        <v>1500</v>
      </c>
      <c r="N13" s="37" t="n">
        <v>1500</v>
      </c>
      <c r="O13" s="37" t="inlineStr"/>
      <c r="P13" s="37" t="n">
        <v>1500</v>
      </c>
      <c r="Q13" s="37" t="n">
        <v>1500</v>
      </c>
      <c r="R13" s="37" t="n">
        <v>1500</v>
      </c>
      <c r="S13" s="37" t="n">
        <v>1500</v>
      </c>
      <c r="T13" s="37" t="n">
        <v>1500</v>
      </c>
      <c r="U13" s="37" t="n">
        <v>1500</v>
      </c>
    </row>
    <row r="14">
      <c r="A14" s="11" t="inlineStr">
        <is>
          <t>00-203</t>
        </is>
      </c>
      <c r="B14" s="38">
        <f>U14</f>
        <v/>
      </c>
      <c r="C14" s="51" t="n">
        <v>1450</v>
      </c>
      <c r="D14" s="38">
        <f>C14-B14</f>
        <v/>
      </c>
      <c r="E14" s="38" t="n">
        <v>1275</v>
      </c>
      <c r="F14" s="38" t="n">
        <v>1275</v>
      </c>
      <c r="G14" s="38" t="n">
        <v>1275</v>
      </c>
      <c r="H14" s="38" t="n">
        <v>1275</v>
      </c>
      <c r="I14" s="38" t="n">
        <v>1275</v>
      </c>
      <c r="J14" s="38" t="n">
        <v>1275</v>
      </c>
      <c r="K14" s="38" t="n">
        <v>1275</v>
      </c>
      <c r="L14" s="38" t="n">
        <v>1275</v>
      </c>
      <c r="M14" s="38" t="n">
        <v>1275</v>
      </c>
      <c r="N14" s="38" t="n">
        <v>1275</v>
      </c>
      <c r="O14" s="38" t="n">
        <v>1275</v>
      </c>
      <c r="P14" s="38" t="n">
        <v>1275</v>
      </c>
      <c r="Q14" s="38" t="n">
        <v>1275</v>
      </c>
      <c r="R14" s="38" t="n">
        <v>1275</v>
      </c>
      <c r="S14" s="38" t="n">
        <v>1275</v>
      </c>
      <c r="T14" s="38" t="n">
        <v>1275</v>
      </c>
      <c r="U14" s="38" t="n">
        <v>1275</v>
      </c>
    </row>
    <row r="15">
      <c r="A15" s="8" t="inlineStr">
        <is>
          <t>00-204</t>
        </is>
      </c>
      <c r="B15" s="37">
        <f>U15</f>
        <v/>
      </c>
      <c r="C15" s="52" t="n">
        <v>1450</v>
      </c>
      <c r="D15" s="37">
        <f>C15-B15</f>
        <v/>
      </c>
      <c r="E15" s="37" t="n">
        <v>1040</v>
      </c>
      <c r="F15" s="37" t="n">
        <v>1040</v>
      </c>
      <c r="G15" s="37" t="n">
        <v>1040</v>
      </c>
      <c r="H15" s="37" t="n">
        <v>1040</v>
      </c>
      <c r="I15" s="37" t="n">
        <v>1040</v>
      </c>
      <c r="J15" s="37" t="n">
        <v>1040</v>
      </c>
      <c r="K15" s="37" t="n">
        <v>1040</v>
      </c>
      <c r="L15" s="37" t="n">
        <v>1040</v>
      </c>
      <c r="M15" s="37" t="n">
        <v>1040</v>
      </c>
      <c r="N15" s="37" t="n">
        <v>1090</v>
      </c>
      <c r="O15" s="37" t="n">
        <v>1090</v>
      </c>
      <c r="P15" s="37" t="n">
        <v>1090</v>
      </c>
      <c r="Q15" s="37" t="n">
        <v>1090</v>
      </c>
      <c r="R15" s="37" t="n">
        <v>1090</v>
      </c>
      <c r="S15" s="37" t="n">
        <v>1090</v>
      </c>
      <c r="T15" s="37" t="n">
        <v>1090</v>
      </c>
      <c r="U15" s="37" t="n">
        <v>1090</v>
      </c>
    </row>
    <row r="16">
      <c r="A16" s="11" t="inlineStr">
        <is>
          <t>00-205</t>
        </is>
      </c>
      <c r="B16" s="38">
        <f>U16</f>
        <v/>
      </c>
      <c r="C16" s="51" t="n">
        <v>1450</v>
      </c>
      <c r="D16" s="38">
        <f>C16-B16</f>
        <v/>
      </c>
      <c r="E16" s="38" t="n">
        <v>1060</v>
      </c>
      <c r="F16" s="38" t="n">
        <v>1060</v>
      </c>
      <c r="G16" s="38" t="n">
        <v>1060</v>
      </c>
      <c r="H16" s="38" t="n">
        <v>1060</v>
      </c>
      <c r="I16" s="38" t="n">
        <v>1060</v>
      </c>
      <c r="J16" s="38" t="n">
        <v>1060</v>
      </c>
      <c r="K16" s="38" t="n">
        <v>1060</v>
      </c>
      <c r="L16" s="38" t="n">
        <v>1060</v>
      </c>
      <c r="M16" s="38" t="n">
        <v>1060</v>
      </c>
      <c r="N16" s="38" t="n">
        <v>1115</v>
      </c>
      <c r="O16" s="38" t="n">
        <v>1115</v>
      </c>
      <c r="P16" s="38" t="n">
        <v>1115</v>
      </c>
      <c r="Q16" s="38" t="n">
        <v>1115</v>
      </c>
      <c r="R16" s="38" t="n">
        <v>1115</v>
      </c>
      <c r="S16" s="38" t="n">
        <v>1115</v>
      </c>
      <c r="T16" s="38" t="n">
        <v>1115</v>
      </c>
      <c r="U16" s="38" t="n">
        <v>1115</v>
      </c>
    </row>
    <row r="17">
      <c r="A17" s="8" t="inlineStr">
        <is>
          <t>00-206</t>
        </is>
      </c>
      <c r="B17" s="37">
        <f>U17</f>
        <v/>
      </c>
      <c r="C17" s="52" t="n">
        <v>1450</v>
      </c>
      <c r="D17" s="37">
        <f>C17-B17</f>
        <v/>
      </c>
      <c r="E17" s="37" t="n">
        <v>1250</v>
      </c>
      <c r="F17" s="37" t="n">
        <v>1250</v>
      </c>
      <c r="G17" s="37" t="n">
        <v>1250</v>
      </c>
      <c r="H17" s="37" t="n">
        <v>1250</v>
      </c>
      <c r="I17" s="37" t="n">
        <v>1250</v>
      </c>
      <c r="J17" s="37" t="n">
        <v>1250</v>
      </c>
      <c r="K17" s="37" t="n">
        <v>1250</v>
      </c>
      <c r="L17" s="37" t="n">
        <v>1250</v>
      </c>
      <c r="M17" s="37" t="n">
        <v>1250</v>
      </c>
      <c r="N17" s="37" t="n">
        <v>1250</v>
      </c>
      <c r="O17" s="37" t="n">
        <v>1250</v>
      </c>
      <c r="P17" s="37" t="n">
        <v>1250</v>
      </c>
      <c r="Q17" s="37" t="n">
        <v>1250</v>
      </c>
      <c r="R17" s="37" t="n">
        <v>1250</v>
      </c>
      <c r="S17" s="37" t="n">
        <v>1250</v>
      </c>
      <c r="T17" s="37" t="n">
        <v>1250</v>
      </c>
      <c r="U17" s="37" t="n">
        <v>1250</v>
      </c>
    </row>
    <row r="18">
      <c r="A18" s="11" t="inlineStr">
        <is>
          <t>00-207</t>
        </is>
      </c>
      <c r="B18" s="38">
        <f>U18</f>
        <v/>
      </c>
      <c r="C18" s="51" t="n">
        <v>1450</v>
      </c>
      <c r="D18" s="38">
        <f>C18-B18</f>
        <v/>
      </c>
      <c r="E18" s="38" t="n">
        <v>1500</v>
      </c>
      <c r="F18" s="38" t="n">
        <v>1500</v>
      </c>
      <c r="G18" s="38" t="n">
        <v>1500</v>
      </c>
      <c r="H18" s="38" t="n">
        <v>1500</v>
      </c>
      <c r="I18" s="38" t="n">
        <v>1500</v>
      </c>
      <c r="J18" s="38" t="n">
        <v>1500</v>
      </c>
      <c r="K18" s="38" t="n">
        <v>1500</v>
      </c>
      <c r="L18" s="38" t="n">
        <v>1500</v>
      </c>
      <c r="M18" s="38" t="n">
        <v>1500</v>
      </c>
      <c r="N18" s="38" t="n">
        <v>1500</v>
      </c>
      <c r="O18" s="38" t="n">
        <v>1500</v>
      </c>
      <c r="P18" s="38" t="n">
        <v>1500</v>
      </c>
      <c r="Q18" s="38" t="n">
        <v>1500</v>
      </c>
      <c r="R18" s="38" t="n">
        <v>1500</v>
      </c>
      <c r="S18" s="38" t="n">
        <v>1500</v>
      </c>
      <c r="T18" s="38" t="n">
        <v>1500</v>
      </c>
      <c r="U18" s="38" t="n">
        <v>1500</v>
      </c>
    </row>
    <row r="19">
      <c r="A19" s="8" t="inlineStr">
        <is>
          <t>00-208</t>
        </is>
      </c>
      <c r="B19" s="37">
        <f>U19</f>
        <v/>
      </c>
      <c r="C19" s="52" t="n">
        <v>1450</v>
      </c>
      <c r="D19" s="37">
        <f>C19-B19</f>
        <v/>
      </c>
      <c r="E19" s="37" t="n">
        <v>1445</v>
      </c>
      <c r="F19" s="37" t="n">
        <v>1445</v>
      </c>
      <c r="G19" s="37" t="n">
        <v>1445</v>
      </c>
      <c r="H19" s="37" t="n">
        <v>1445</v>
      </c>
      <c r="I19" s="37" t="n">
        <v>1445</v>
      </c>
      <c r="J19" s="37" t="n">
        <v>1445</v>
      </c>
      <c r="K19" s="37" t="n">
        <v>1445</v>
      </c>
      <c r="L19" s="37" t="n">
        <v>1445</v>
      </c>
      <c r="M19" s="37" t="n">
        <v>1500</v>
      </c>
      <c r="N19" s="37" t="n">
        <v>1500</v>
      </c>
      <c r="O19" s="37" t="n">
        <v>1500</v>
      </c>
      <c r="P19" s="37" t="n">
        <v>1500</v>
      </c>
      <c r="Q19" s="37" t="n">
        <v>1500</v>
      </c>
      <c r="R19" s="37" t="n">
        <v>1500</v>
      </c>
      <c r="S19" s="37" t="n">
        <v>1500</v>
      </c>
      <c r="T19" s="37" t="n">
        <v>1500</v>
      </c>
      <c r="U19" s="37" t="n">
        <v>1500</v>
      </c>
    </row>
    <row r="20">
      <c r="A20" s="11" t="inlineStr">
        <is>
          <t>00-301</t>
        </is>
      </c>
      <c r="B20" s="38">
        <f>U20</f>
        <v/>
      </c>
      <c r="C20" s="51" t="n">
        <v>1450</v>
      </c>
      <c r="D20" s="38">
        <f>C20-B20</f>
        <v/>
      </c>
      <c r="E20" s="38" t="n">
        <v>1450</v>
      </c>
      <c r="F20" s="38" t="n">
        <v>1450</v>
      </c>
      <c r="G20" s="38" t="n">
        <v>1450</v>
      </c>
      <c r="H20" s="38" t="n">
        <v>1450</v>
      </c>
      <c r="I20" s="38" t="n">
        <v>1450</v>
      </c>
      <c r="J20" s="38" t="n">
        <v>1450</v>
      </c>
      <c r="K20" s="38" t="n">
        <v>1450</v>
      </c>
      <c r="L20" s="38" t="n">
        <v>1450</v>
      </c>
      <c r="M20" s="38" t="n">
        <v>1450</v>
      </c>
      <c r="N20" s="38" t="n">
        <v>1450</v>
      </c>
      <c r="O20" s="38" t="n">
        <v>1450</v>
      </c>
      <c r="P20" s="38" t="n">
        <v>1450</v>
      </c>
      <c r="Q20" s="38" t="n">
        <v>1450</v>
      </c>
      <c r="R20" s="38" t="n">
        <v>1450</v>
      </c>
      <c r="S20" s="38" t="n">
        <v>1450</v>
      </c>
      <c r="T20" s="38" t="n">
        <v>1450</v>
      </c>
      <c r="U20" s="38" t="inlineStr"/>
    </row>
    <row r="21">
      <c r="A21" s="8" t="inlineStr">
        <is>
          <t>00-302</t>
        </is>
      </c>
      <c r="B21" s="37">
        <f>U21</f>
        <v/>
      </c>
      <c r="C21" s="52" t="n">
        <v>1450</v>
      </c>
      <c r="D21" s="37">
        <f>C21-B21</f>
        <v/>
      </c>
      <c r="E21" s="37" t="n">
        <v>1450</v>
      </c>
      <c r="F21" s="37" t="n">
        <v>1450</v>
      </c>
      <c r="G21" s="37" t="n">
        <v>1450</v>
      </c>
      <c r="H21" s="37" t="n">
        <v>1450</v>
      </c>
      <c r="I21" s="37" t="n">
        <v>1450</v>
      </c>
      <c r="J21" s="37" t="n">
        <v>1450</v>
      </c>
      <c r="K21" s="37" t="n">
        <v>1450</v>
      </c>
      <c r="L21" s="37" t="n">
        <v>1450</v>
      </c>
      <c r="M21" s="37" t="n">
        <v>1450</v>
      </c>
      <c r="N21" s="37" t="n">
        <v>1450</v>
      </c>
      <c r="O21" s="37" t="n">
        <v>1450</v>
      </c>
      <c r="P21" s="37" t="n">
        <v>1450</v>
      </c>
      <c r="Q21" s="37" t="n">
        <v>1450</v>
      </c>
      <c r="R21" s="37" t="n">
        <v>1450</v>
      </c>
      <c r="S21" s="37" t="n">
        <v>1450</v>
      </c>
      <c r="T21" s="37" t="n">
        <v>1450</v>
      </c>
      <c r="U21" s="37" t="n">
        <v>1450</v>
      </c>
    </row>
    <row r="22">
      <c r="A22" s="11" t="inlineStr">
        <is>
          <t>00-303</t>
        </is>
      </c>
      <c r="B22" s="38">
        <f>U22</f>
        <v/>
      </c>
      <c r="C22" s="51" t="n">
        <v>1450</v>
      </c>
      <c r="D22" s="38">
        <f>C22-B22</f>
        <v/>
      </c>
      <c r="E22" s="38" t="n">
        <v>1250</v>
      </c>
      <c r="F22" s="38" t="n">
        <v>1250</v>
      </c>
      <c r="G22" s="38" t="n">
        <v>1250</v>
      </c>
      <c r="H22" s="38" t="inlineStr"/>
      <c r="I22" s="38" t="n">
        <v>1250</v>
      </c>
      <c r="J22" s="38" t="n">
        <v>1250</v>
      </c>
      <c r="K22" s="38" t="n">
        <v>1250</v>
      </c>
      <c r="L22" s="38" t="n">
        <v>1250</v>
      </c>
      <c r="M22" s="38" t="n">
        <v>1250</v>
      </c>
      <c r="N22" s="38" t="n">
        <v>1250</v>
      </c>
      <c r="O22" s="38" t="n">
        <v>1250</v>
      </c>
      <c r="P22" s="38" t="n">
        <v>1250</v>
      </c>
      <c r="Q22" s="38" t="n">
        <v>1250</v>
      </c>
      <c r="R22" s="38" t="n">
        <v>1250</v>
      </c>
      <c r="S22" s="38" t="n">
        <v>1250</v>
      </c>
      <c r="T22" s="38" t="n">
        <v>1250</v>
      </c>
      <c r="U22" s="38" t="n">
        <v>1250</v>
      </c>
    </row>
    <row r="23">
      <c r="A23" s="8" t="inlineStr">
        <is>
          <t>00-304</t>
        </is>
      </c>
      <c r="B23" s="37">
        <f>U23</f>
        <v/>
      </c>
      <c r="C23" s="52" t="n">
        <v>1450</v>
      </c>
      <c r="D23" s="37">
        <f>C23-B23</f>
        <v/>
      </c>
      <c r="E23" s="37" t="n">
        <v>1150</v>
      </c>
      <c r="F23" s="37" t="n">
        <v>1150</v>
      </c>
      <c r="G23" s="37" t="n">
        <v>1150</v>
      </c>
      <c r="H23" s="37" t="n">
        <v>1150</v>
      </c>
      <c r="I23" s="37" t="inlineStr"/>
      <c r="J23" s="37" t="n">
        <v>1275</v>
      </c>
      <c r="K23" s="37" t="n">
        <v>1275</v>
      </c>
      <c r="L23" s="37" t="n">
        <v>1275</v>
      </c>
      <c r="M23" s="37" t="n">
        <v>1275</v>
      </c>
      <c r="N23" s="37" t="n">
        <v>1275</v>
      </c>
      <c r="O23" s="37" t="n">
        <v>1275</v>
      </c>
      <c r="P23" s="37" t="n">
        <v>1275</v>
      </c>
      <c r="Q23" s="37" t="n">
        <v>1250</v>
      </c>
      <c r="R23" s="37" t="n">
        <v>1250</v>
      </c>
      <c r="S23" s="37" t="n">
        <v>1250</v>
      </c>
      <c r="T23" s="37" t="n">
        <v>1250</v>
      </c>
      <c r="U23" s="37" t="n">
        <v>1250</v>
      </c>
    </row>
    <row r="24">
      <c r="A24" s="11" t="inlineStr">
        <is>
          <t>00-305</t>
        </is>
      </c>
      <c r="B24" s="38">
        <f>U24</f>
        <v/>
      </c>
      <c r="C24" s="51" t="n">
        <v>1450</v>
      </c>
      <c r="D24" s="38">
        <f>C24-B24</f>
        <v/>
      </c>
      <c r="E24" s="38" t="n">
        <v>1295</v>
      </c>
      <c r="F24" s="38" t="n">
        <v>1295</v>
      </c>
      <c r="G24" s="38" t="n">
        <v>1295</v>
      </c>
      <c r="H24" s="38" t="n">
        <v>1295</v>
      </c>
      <c r="I24" s="38" t="n">
        <v>1295</v>
      </c>
      <c r="J24" s="38" t="n">
        <v>1295</v>
      </c>
      <c r="K24" s="38" t="n">
        <v>1295</v>
      </c>
      <c r="L24" s="38" t="n">
        <v>1295</v>
      </c>
      <c r="M24" s="38" t="n">
        <v>1295</v>
      </c>
      <c r="N24" s="38" t="n">
        <v>1295</v>
      </c>
      <c r="O24" s="38" t="n">
        <v>1295</v>
      </c>
      <c r="P24" s="38" t="n">
        <v>1295</v>
      </c>
      <c r="Q24" s="38" t="n">
        <v>1295</v>
      </c>
      <c r="R24" s="38" t="n">
        <v>1295</v>
      </c>
      <c r="S24" s="38" t="n">
        <v>1295</v>
      </c>
      <c r="T24" s="38" t="n">
        <v>1295</v>
      </c>
      <c r="U24" s="38" t="n">
        <v>1295</v>
      </c>
    </row>
    <row r="25">
      <c r="A25" s="8" t="inlineStr">
        <is>
          <t>00-306</t>
        </is>
      </c>
      <c r="B25" s="37">
        <f>U25</f>
        <v/>
      </c>
      <c r="C25" s="52" t="n">
        <v>1450</v>
      </c>
      <c r="D25" s="37">
        <f>C25-B25</f>
        <v/>
      </c>
      <c r="E25" s="37" t="n">
        <v>1100</v>
      </c>
      <c r="F25" s="37" t="n">
        <v>1100</v>
      </c>
      <c r="G25" s="37" t="n">
        <v>1100</v>
      </c>
      <c r="H25" s="37" t="n">
        <v>1100</v>
      </c>
      <c r="I25" s="37" t="n">
        <v>1100</v>
      </c>
      <c r="J25" s="37" t="n">
        <v>1100</v>
      </c>
      <c r="K25" s="37" t="n">
        <v>1100</v>
      </c>
      <c r="L25" s="37" t="n">
        <v>1100</v>
      </c>
      <c r="M25" s="37" t="inlineStr"/>
      <c r="N25" s="37" t="n">
        <v>1300</v>
      </c>
      <c r="O25" s="37" t="n">
        <v>1300</v>
      </c>
      <c r="P25" s="37" t="n">
        <v>1300</v>
      </c>
      <c r="Q25" s="37" t="n">
        <v>1300</v>
      </c>
      <c r="R25" s="37" t="n">
        <v>1300</v>
      </c>
      <c r="S25" s="37" t="n">
        <v>1300</v>
      </c>
      <c r="T25" s="37" t="n">
        <v>1300</v>
      </c>
      <c r="U25" s="37" t="n">
        <v>1300</v>
      </c>
    </row>
    <row r="26">
      <c r="A26" s="11" t="inlineStr">
        <is>
          <t>00-307</t>
        </is>
      </c>
      <c r="B26" s="38">
        <f>U26</f>
        <v/>
      </c>
      <c r="C26" s="51" t="n">
        <v>1450</v>
      </c>
      <c r="D26" s="38">
        <f>C26-B26</f>
        <v/>
      </c>
      <c r="E26" s="38" t="n">
        <v>1350</v>
      </c>
      <c r="F26" s="38" t="inlineStr"/>
      <c r="G26" s="38" t="inlineStr"/>
      <c r="H26" s="38" t="n">
        <v>1350</v>
      </c>
      <c r="I26" s="38" t="n">
        <v>1350</v>
      </c>
      <c r="J26" s="38" t="n">
        <v>1350</v>
      </c>
      <c r="K26" s="38" t="n">
        <v>1350</v>
      </c>
      <c r="L26" s="38" t="n">
        <v>1350</v>
      </c>
      <c r="M26" s="38" t="n">
        <v>1350</v>
      </c>
      <c r="N26" s="38" t="n">
        <v>1400</v>
      </c>
      <c r="O26" s="38" t="n">
        <v>1400</v>
      </c>
      <c r="P26" s="38" t="n">
        <v>1400</v>
      </c>
      <c r="Q26" s="38" t="n">
        <v>1400</v>
      </c>
      <c r="R26" s="38" t="n">
        <v>1400</v>
      </c>
      <c r="S26" s="38" t="n">
        <v>1400</v>
      </c>
      <c r="T26" s="38" t="n">
        <v>1400</v>
      </c>
      <c r="U26" s="38" t="n">
        <v>1400</v>
      </c>
    </row>
    <row r="27">
      <c r="A27" s="8" t="inlineStr">
        <is>
          <t>00-308</t>
        </is>
      </c>
      <c r="B27" s="37">
        <f>U27</f>
        <v/>
      </c>
      <c r="C27" s="52" t="n">
        <v>1450</v>
      </c>
      <c r="D27" s="37">
        <f>C27-B27</f>
        <v/>
      </c>
      <c r="E27" s="37" t="n">
        <v>1350</v>
      </c>
      <c r="F27" s="37" t="n">
        <v>1350</v>
      </c>
      <c r="G27" s="37" t="n">
        <v>1350</v>
      </c>
      <c r="H27" s="37" t="n">
        <v>1350</v>
      </c>
      <c r="I27" s="37" t="n">
        <v>1350</v>
      </c>
      <c r="J27" s="37" t="n">
        <v>1350</v>
      </c>
      <c r="K27" s="37" t="n">
        <v>1350</v>
      </c>
      <c r="L27" s="37" t="n">
        <v>1400</v>
      </c>
      <c r="M27" s="37" t="n">
        <v>1400</v>
      </c>
      <c r="N27" s="37" t="n">
        <v>1400</v>
      </c>
      <c r="O27" s="37" t="n">
        <v>1400</v>
      </c>
      <c r="P27" s="37" t="n">
        <v>1400</v>
      </c>
      <c r="Q27" s="37" t="n">
        <v>1400</v>
      </c>
      <c r="R27" s="37" t="n">
        <v>1400</v>
      </c>
      <c r="S27" s="37" t="n">
        <v>1400</v>
      </c>
      <c r="T27" s="37" t="n">
        <v>1400</v>
      </c>
      <c r="U27" s="37" t="n">
        <v>1400</v>
      </c>
    </row>
    <row r="28">
      <c r="A28" s="11" t="inlineStr">
        <is>
          <t>04-101</t>
        </is>
      </c>
      <c r="B28" s="38">
        <f>U28</f>
        <v/>
      </c>
      <c r="C28" s="51" t="n">
        <v>1450</v>
      </c>
      <c r="D28" s="38">
        <f>C28-B28</f>
        <v/>
      </c>
      <c r="E28" s="38" t="n">
        <v>1425</v>
      </c>
      <c r="F28" s="38" t="n">
        <v>1425</v>
      </c>
      <c r="G28" s="38" t="n">
        <v>1425</v>
      </c>
      <c r="H28" s="38" t="n">
        <v>1425</v>
      </c>
      <c r="I28" s="38" t="n">
        <v>1425</v>
      </c>
      <c r="J28" s="38" t="n">
        <v>1425</v>
      </c>
      <c r="K28" s="38" t="n">
        <v>1425</v>
      </c>
      <c r="L28" s="38" t="n">
        <v>1425</v>
      </c>
      <c r="M28" s="38" t="n">
        <v>1425</v>
      </c>
      <c r="N28" s="38" t="n">
        <v>1425</v>
      </c>
      <c r="O28" s="38" t="n">
        <v>1425</v>
      </c>
      <c r="P28" s="38" t="n">
        <v>1475</v>
      </c>
      <c r="Q28" s="38" t="n">
        <v>1475</v>
      </c>
      <c r="R28" s="38" t="n">
        <v>1475</v>
      </c>
      <c r="S28" s="38" t="n">
        <v>1475</v>
      </c>
      <c r="T28" s="38" t="n">
        <v>1475</v>
      </c>
      <c r="U28" s="38" t="n">
        <v>1475</v>
      </c>
    </row>
    <row r="29">
      <c r="A29" s="8" t="inlineStr">
        <is>
          <t>04-102</t>
        </is>
      </c>
      <c r="B29" s="37">
        <f>U29</f>
        <v/>
      </c>
      <c r="C29" s="52" t="n">
        <v>1450</v>
      </c>
      <c r="D29" s="37">
        <f>C29-B29</f>
        <v/>
      </c>
      <c r="E29" s="37" t="n">
        <v>1200</v>
      </c>
      <c r="F29" s="37" t="inlineStr"/>
      <c r="G29" s="37" t="n">
        <v>1500</v>
      </c>
      <c r="H29" s="37" t="n">
        <v>1500</v>
      </c>
      <c r="I29" s="37" t="n">
        <v>1500</v>
      </c>
      <c r="J29" s="37" t="n">
        <v>1500</v>
      </c>
      <c r="K29" s="37" t="n">
        <v>1500</v>
      </c>
      <c r="L29" s="37" t="n">
        <v>1500</v>
      </c>
      <c r="M29" s="37" t="n">
        <v>1500</v>
      </c>
      <c r="N29" s="37" t="n">
        <v>1500</v>
      </c>
      <c r="O29" s="37" t="n">
        <v>1500</v>
      </c>
      <c r="P29" s="37" t="n">
        <v>1500</v>
      </c>
      <c r="Q29" s="37" t="n">
        <v>1500</v>
      </c>
      <c r="R29" s="37" t="n">
        <v>1500</v>
      </c>
      <c r="S29" s="37" t="n">
        <v>1500</v>
      </c>
      <c r="T29" s="37" t="n">
        <v>1500</v>
      </c>
      <c r="U29" s="37" t="n">
        <v>1500</v>
      </c>
    </row>
    <row r="30">
      <c r="A30" s="11" t="inlineStr">
        <is>
          <t>04-103</t>
        </is>
      </c>
      <c r="B30" s="38">
        <f>U30</f>
        <v/>
      </c>
      <c r="C30" s="51" t="n">
        <v>1450</v>
      </c>
      <c r="D30" s="38">
        <f>C30-B30</f>
        <v/>
      </c>
      <c r="E30" s="38" t="n">
        <v>1090</v>
      </c>
      <c r="F30" s="38" t="n">
        <v>1090</v>
      </c>
      <c r="G30" s="38" t="n">
        <v>1090</v>
      </c>
      <c r="H30" s="38" t="n">
        <v>1090</v>
      </c>
      <c r="I30" s="38" t="n">
        <v>1090</v>
      </c>
      <c r="J30" s="38" t="n">
        <v>1090</v>
      </c>
      <c r="K30" s="38" t="n">
        <v>1090</v>
      </c>
      <c r="L30" s="38" t="n">
        <v>1090</v>
      </c>
      <c r="M30" s="38" t="n">
        <v>1090</v>
      </c>
      <c r="N30" s="38" t="n">
        <v>1145</v>
      </c>
      <c r="O30" s="38" t="n">
        <v>1145</v>
      </c>
      <c r="P30" s="38" t="n">
        <v>1145</v>
      </c>
      <c r="Q30" s="38" t="n">
        <v>1145</v>
      </c>
      <c r="R30" s="38" t="n">
        <v>1145</v>
      </c>
      <c r="S30" s="38" t="n">
        <v>1145</v>
      </c>
      <c r="T30" s="38" t="n">
        <v>1145</v>
      </c>
      <c r="U30" s="38" t="n">
        <v>1145</v>
      </c>
    </row>
    <row r="31">
      <c r="A31" s="8" t="inlineStr">
        <is>
          <t>04-104</t>
        </is>
      </c>
      <c r="B31" s="37">
        <f>U31</f>
        <v/>
      </c>
      <c r="C31" s="52" t="n">
        <v>1450</v>
      </c>
      <c r="D31" s="37">
        <f>C31-B31</f>
        <v/>
      </c>
      <c r="E31" s="37" t="n">
        <v>1175</v>
      </c>
      <c r="F31" s="37" t="n">
        <v>1175</v>
      </c>
      <c r="G31" s="37" t="n">
        <v>1175</v>
      </c>
      <c r="H31" s="37" t="n">
        <v>1175</v>
      </c>
      <c r="I31" s="37" t="n">
        <v>1250</v>
      </c>
      <c r="J31" s="37" t="n">
        <v>1250</v>
      </c>
      <c r="K31" s="37" t="n">
        <v>1250</v>
      </c>
      <c r="L31" s="37" t="n">
        <v>1250</v>
      </c>
      <c r="M31" s="37" t="n">
        <v>1250</v>
      </c>
      <c r="N31" s="37" t="n">
        <v>1250</v>
      </c>
      <c r="O31" s="37" t="n">
        <v>1250</v>
      </c>
      <c r="P31" s="37" t="n">
        <v>1250</v>
      </c>
      <c r="Q31" s="37" t="n">
        <v>1250</v>
      </c>
      <c r="R31" s="37" t="n">
        <v>1250</v>
      </c>
      <c r="S31" s="37" t="n">
        <v>1250</v>
      </c>
      <c r="T31" s="37" t="n">
        <v>1250</v>
      </c>
      <c r="U31" s="37" t="n">
        <v>1250</v>
      </c>
    </row>
    <row r="32">
      <c r="A32" s="11" t="inlineStr">
        <is>
          <t>04-105</t>
        </is>
      </c>
      <c r="B32" s="38">
        <f>U32</f>
        <v/>
      </c>
      <c r="C32" s="51" t="n">
        <v>1450</v>
      </c>
      <c r="D32" s="38">
        <f>C32-B32</f>
        <v/>
      </c>
      <c r="E32" s="38" t="n">
        <v>1225</v>
      </c>
      <c r="F32" s="38" t="n">
        <v>1225</v>
      </c>
      <c r="G32" s="38" t="n">
        <v>1225</v>
      </c>
      <c r="H32" s="38" t="n">
        <v>1225</v>
      </c>
      <c r="I32" s="38" t="n">
        <v>1225</v>
      </c>
      <c r="J32" s="38" t="n">
        <v>1225</v>
      </c>
      <c r="K32" s="38" t="n">
        <v>1225</v>
      </c>
      <c r="L32" s="38" t="n">
        <v>1225</v>
      </c>
      <c r="M32" s="38" t="n">
        <v>1225</v>
      </c>
      <c r="N32" s="38" t="n">
        <v>1250</v>
      </c>
      <c r="O32" s="38" t="n">
        <v>1250</v>
      </c>
      <c r="P32" s="38" t="n">
        <v>1250</v>
      </c>
      <c r="Q32" s="38" t="n">
        <v>1250</v>
      </c>
      <c r="R32" s="38" t="n">
        <v>1250</v>
      </c>
      <c r="S32" s="38" t="n">
        <v>1250</v>
      </c>
      <c r="T32" s="38" t="n">
        <v>1250</v>
      </c>
      <c r="U32" s="38" t="n">
        <v>1250</v>
      </c>
    </row>
    <row r="33">
      <c r="A33" s="8" t="inlineStr">
        <is>
          <t>04-106</t>
        </is>
      </c>
      <c r="B33" s="37">
        <f>U33</f>
        <v/>
      </c>
      <c r="C33" s="52" t="n">
        <v>1450</v>
      </c>
      <c r="D33" s="37">
        <f>C33-B33</f>
        <v/>
      </c>
      <c r="E33" s="37" t="n">
        <v>1150</v>
      </c>
      <c r="F33" s="37" t="n">
        <v>1150</v>
      </c>
      <c r="G33" s="37" t="n">
        <v>1150</v>
      </c>
      <c r="H33" s="37" t="n">
        <v>1150</v>
      </c>
      <c r="I33" s="37" t="n">
        <v>1150</v>
      </c>
      <c r="J33" s="37" t="n">
        <v>1150</v>
      </c>
      <c r="K33" s="37" t="inlineStr"/>
      <c r="L33" s="37" t="n">
        <v>1300</v>
      </c>
      <c r="M33" s="37" t="n">
        <v>1300</v>
      </c>
      <c r="N33" s="37" t="n">
        <v>1300</v>
      </c>
      <c r="O33" s="37" t="n">
        <v>1300</v>
      </c>
      <c r="P33" s="37" t="n">
        <v>1300</v>
      </c>
      <c r="Q33" s="37" t="n">
        <v>1300</v>
      </c>
      <c r="R33" s="37" t="n">
        <v>1300</v>
      </c>
      <c r="S33" s="37" t="n">
        <v>1300</v>
      </c>
      <c r="T33" s="37" t="n">
        <v>1300</v>
      </c>
      <c r="U33" s="37" t="n">
        <v>1300</v>
      </c>
    </row>
    <row r="34">
      <c r="A34" s="11" t="inlineStr">
        <is>
          <t>04-107</t>
        </is>
      </c>
      <c r="B34" s="38">
        <f>U34</f>
        <v/>
      </c>
      <c r="C34" s="51" t="n">
        <v>1450</v>
      </c>
      <c r="D34" s="38">
        <f>C34-B34</f>
        <v/>
      </c>
      <c r="E34" s="38" t="n">
        <v>1175</v>
      </c>
      <c r="F34" s="38" t="n">
        <v>1175</v>
      </c>
      <c r="G34" s="38" t="n">
        <v>1175</v>
      </c>
      <c r="H34" s="38" t="n">
        <v>1175</v>
      </c>
      <c r="I34" s="38" t="n">
        <v>1175</v>
      </c>
      <c r="J34" s="38" t="n">
        <v>1175</v>
      </c>
      <c r="K34" s="38" t="n">
        <v>1175</v>
      </c>
      <c r="L34" s="38" t="n">
        <v>1175</v>
      </c>
      <c r="M34" s="38" t="n">
        <v>1175</v>
      </c>
      <c r="N34" s="38" t="n">
        <v>1250</v>
      </c>
      <c r="O34" s="38" t="n">
        <v>1250</v>
      </c>
      <c r="P34" s="38" t="n">
        <v>1250</v>
      </c>
      <c r="Q34" s="38" t="n">
        <v>1250</v>
      </c>
      <c r="R34" s="38" t="n">
        <v>1250</v>
      </c>
      <c r="S34" s="38" t="n">
        <v>1250</v>
      </c>
      <c r="T34" s="38" t="n">
        <v>1250</v>
      </c>
      <c r="U34" s="38" t="n">
        <v>1250</v>
      </c>
    </row>
    <row r="35">
      <c r="A35" s="8" t="inlineStr">
        <is>
          <t>04-108</t>
        </is>
      </c>
      <c r="B35" s="37">
        <f>U35</f>
        <v/>
      </c>
      <c r="C35" s="52" t="n">
        <v>1450</v>
      </c>
      <c r="D35" s="37">
        <f>C35-B35</f>
        <v/>
      </c>
      <c r="E35" s="37" t="n">
        <v>1175</v>
      </c>
      <c r="F35" s="37" t="n">
        <v>1175</v>
      </c>
      <c r="G35" s="37" t="n">
        <v>1175</v>
      </c>
      <c r="H35" s="37" t="n">
        <v>1175</v>
      </c>
      <c r="I35" s="37" t="n">
        <v>1175</v>
      </c>
      <c r="J35" s="37" t="n">
        <v>1175</v>
      </c>
      <c r="K35" s="37" t="n">
        <v>1175</v>
      </c>
      <c r="L35" s="37" t="n">
        <v>1175</v>
      </c>
      <c r="M35" s="37" t="n">
        <v>1175</v>
      </c>
      <c r="N35" s="37" t="n">
        <v>1200</v>
      </c>
      <c r="O35" s="37" t="n">
        <v>1200</v>
      </c>
      <c r="P35" s="37" t="n">
        <v>1200</v>
      </c>
      <c r="Q35" s="37" t="n">
        <v>1200</v>
      </c>
      <c r="R35" s="37" t="n">
        <v>1200</v>
      </c>
      <c r="S35" s="37" t="n">
        <v>1200</v>
      </c>
      <c r="T35" s="37" t="n">
        <v>1200</v>
      </c>
      <c r="U35" s="37" t="n">
        <v>1200</v>
      </c>
    </row>
    <row r="36">
      <c r="A36" s="11" t="inlineStr">
        <is>
          <t>04-201</t>
        </is>
      </c>
      <c r="B36" s="38">
        <f>U36</f>
        <v/>
      </c>
      <c r="C36" s="51" t="n">
        <v>1450</v>
      </c>
      <c r="D36" s="38">
        <f>C36-B36</f>
        <v/>
      </c>
      <c r="E36" s="38" t="n">
        <v>1375</v>
      </c>
      <c r="F36" s="38" t="n">
        <v>1375</v>
      </c>
      <c r="G36" s="38" t="n">
        <v>1375</v>
      </c>
      <c r="H36" s="38" t="n">
        <v>1375</v>
      </c>
      <c r="I36" s="38" t="n">
        <v>1375</v>
      </c>
      <c r="J36" s="38" t="n">
        <v>1375</v>
      </c>
      <c r="K36" s="38" t="n">
        <v>1375</v>
      </c>
      <c r="L36" s="38" t="n">
        <v>1375</v>
      </c>
      <c r="M36" s="38" t="n">
        <v>1450</v>
      </c>
      <c r="N36" s="38" t="n">
        <v>1450</v>
      </c>
      <c r="O36" s="38" t="n">
        <v>1450</v>
      </c>
      <c r="P36" s="38" t="n">
        <v>1450</v>
      </c>
      <c r="Q36" s="38" t="n">
        <v>1450</v>
      </c>
      <c r="R36" s="38" t="n">
        <v>1450</v>
      </c>
      <c r="S36" s="38" t="n">
        <v>1450</v>
      </c>
      <c r="T36" s="38" t="n">
        <v>1450</v>
      </c>
      <c r="U36" s="38" t="n">
        <v>1450</v>
      </c>
    </row>
    <row r="37">
      <c r="A37" s="8" t="inlineStr">
        <is>
          <t>04-202</t>
        </is>
      </c>
      <c r="B37" s="37">
        <f>U37</f>
        <v/>
      </c>
      <c r="C37" s="52" t="n">
        <v>1450</v>
      </c>
      <c r="D37" s="37">
        <f>C37-B37</f>
        <v/>
      </c>
      <c r="E37" s="37" t="n">
        <v>1275</v>
      </c>
      <c r="F37" s="37" t="n">
        <v>1275</v>
      </c>
      <c r="G37" s="37" t="n">
        <v>1275</v>
      </c>
      <c r="H37" s="37" t="n">
        <v>1275</v>
      </c>
      <c r="I37" s="37" t="n">
        <v>1275</v>
      </c>
      <c r="J37" s="37" t="n">
        <v>1275</v>
      </c>
      <c r="K37" s="37" t="n">
        <v>1275</v>
      </c>
      <c r="L37" s="37" t="n">
        <v>1275</v>
      </c>
      <c r="M37" s="37" t="n">
        <v>1350</v>
      </c>
      <c r="N37" s="37" t="n">
        <v>1350</v>
      </c>
      <c r="O37" s="37" t="n">
        <v>1350</v>
      </c>
      <c r="P37" s="37" t="n">
        <v>1350</v>
      </c>
      <c r="Q37" s="37" t="n">
        <v>1350</v>
      </c>
      <c r="R37" s="37" t="n">
        <v>1350</v>
      </c>
      <c r="S37" s="37" t="n">
        <v>1350</v>
      </c>
      <c r="T37" s="37" t="inlineStr"/>
      <c r="U37" s="37" t="n">
        <v>1500</v>
      </c>
    </row>
    <row r="38">
      <c r="A38" s="11" t="inlineStr">
        <is>
          <t>04-203</t>
        </is>
      </c>
      <c r="B38" s="38">
        <f>U38</f>
        <v/>
      </c>
      <c r="C38" s="51" t="n">
        <v>1450</v>
      </c>
      <c r="D38" s="38">
        <f>C38-B38</f>
        <v/>
      </c>
      <c r="E38" s="38" t="n">
        <v>1295</v>
      </c>
      <c r="F38" s="38" t="n">
        <v>1295</v>
      </c>
      <c r="G38" s="38" t="n">
        <v>1295</v>
      </c>
      <c r="H38" s="38" t="n">
        <v>1295</v>
      </c>
      <c r="I38" s="38" t="n">
        <v>1295</v>
      </c>
      <c r="J38" s="38" t="n">
        <v>1295</v>
      </c>
      <c r="K38" s="38" t="n">
        <v>1295</v>
      </c>
      <c r="L38" s="38" t="n">
        <v>1295</v>
      </c>
      <c r="M38" s="38" t="n">
        <v>1295</v>
      </c>
      <c r="N38" s="38" t="n">
        <v>1295</v>
      </c>
      <c r="O38" s="38" t="n">
        <v>1295</v>
      </c>
      <c r="P38" s="38" t="n">
        <v>1300</v>
      </c>
      <c r="Q38" s="38" t="n">
        <v>1300</v>
      </c>
      <c r="R38" s="38" t="n">
        <v>1300</v>
      </c>
      <c r="S38" s="38" t="n">
        <v>1300</v>
      </c>
      <c r="T38" s="38" t="n">
        <v>1300</v>
      </c>
      <c r="U38" s="38" t="n">
        <v>1300</v>
      </c>
    </row>
    <row r="39">
      <c r="A39" s="8" t="inlineStr">
        <is>
          <t>04-204</t>
        </is>
      </c>
      <c r="B39" s="37">
        <f>U39</f>
        <v/>
      </c>
      <c r="C39" s="52" t="n">
        <v>1450</v>
      </c>
      <c r="D39" s="37">
        <f>C39-B39</f>
        <v/>
      </c>
      <c r="E39" s="37" t="n">
        <v>1085</v>
      </c>
      <c r="F39" s="37" t="n">
        <v>1085</v>
      </c>
      <c r="G39" s="37" t="n">
        <v>1085</v>
      </c>
      <c r="H39" s="37" t="n">
        <v>1085</v>
      </c>
      <c r="I39" s="37" t="n">
        <v>1085</v>
      </c>
      <c r="J39" s="37" t="n">
        <v>1085</v>
      </c>
      <c r="K39" s="37" t="n">
        <v>1085</v>
      </c>
      <c r="L39" s="37" t="n">
        <v>1085</v>
      </c>
      <c r="M39" s="37" t="n">
        <v>1085</v>
      </c>
      <c r="N39" s="37" t="n">
        <v>1085</v>
      </c>
      <c r="O39" s="37" t="n">
        <v>1160</v>
      </c>
      <c r="P39" s="37" t="n">
        <v>1160</v>
      </c>
      <c r="Q39" s="37" t="n">
        <v>1160</v>
      </c>
      <c r="R39" s="37" t="n">
        <v>1160</v>
      </c>
      <c r="S39" s="37" t="n">
        <v>1300</v>
      </c>
      <c r="T39" s="37" t="n">
        <v>1300</v>
      </c>
      <c r="U39" s="37" t="n">
        <v>1300</v>
      </c>
    </row>
    <row r="40">
      <c r="A40" s="11" t="inlineStr">
        <is>
          <t>04-205</t>
        </is>
      </c>
      <c r="B40" s="38">
        <f>U40</f>
        <v/>
      </c>
      <c r="C40" s="51" t="n">
        <v>1450</v>
      </c>
      <c r="D40" s="38">
        <f>C40-B40</f>
        <v/>
      </c>
      <c r="E40" s="38" t="inlineStr"/>
      <c r="F40" s="38" t="n">
        <v>1250</v>
      </c>
      <c r="G40" s="38" t="n">
        <v>1250</v>
      </c>
      <c r="H40" s="38" t="n">
        <v>1250</v>
      </c>
      <c r="I40" s="38" t="n">
        <v>1250</v>
      </c>
      <c r="J40" s="38" t="n">
        <v>1250</v>
      </c>
      <c r="K40" s="38" t="inlineStr"/>
      <c r="L40" s="38" t="n">
        <v>1300</v>
      </c>
      <c r="M40" s="38" t="n">
        <v>1300</v>
      </c>
      <c r="N40" s="38" t="n">
        <v>1300</v>
      </c>
      <c r="O40" s="38" t="n">
        <v>1300</v>
      </c>
      <c r="P40" s="38" t="n">
        <v>1300</v>
      </c>
      <c r="Q40" s="38" t="n">
        <v>1300</v>
      </c>
      <c r="R40" s="38" t="n">
        <v>1300</v>
      </c>
      <c r="S40" s="38" t="n">
        <v>1300</v>
      </c>
      <c r="T40" s="38" t="n">
        <v>1300</v>
      </c>
      <c r="U40" s="38" t="n">
        <v>1300</v>
      </c>
    </row>
    <row r="41">
      <c r="A41" s="8" t="inlineStr">
        <is>
          <t>04-206</t>
        </is>
      </c>
      <c r="B41" s="37">
        <f>U41</f>
        <v/>
      </c>
      <c r="C41" s="52" t="n">
        <v>1450</v>
      </c>
      <c r="D41" s="37">
        <f>C41-B41</f>
        <v/>
      </c>
      <c r="E41" s="37" t="n">
        <v>1090</v>
      </c>
      <c r="F41" s="37" t="n">
        <v>1090</v>
      </c>
      <c r="G41" s="37" t="n">
        <v>1090</v>
      </c>
      <c r="H41" s="37" t="n">
        <v>1090</v>
      </c>
      <c r="I41" s="37" t="n">
        <v>1090</v>
      </c>
      <c r="J41" s="37" t="n">
        <v>1090</v>
      </c>
      <c r="K41" s="37" t="n">
        <v>1090</v>
      </c>
      <c r="L41" s="37" t="n">
        <v>1090</v>
      </c>
      <c r="M41" s="37" t="n">
        <v>1090</v>
      </c>
      <c r="N41" s="37" t="n">
        <v>1090</v>
      </c>
      <c r="O41" s="37" t="n">
        <v>1140</v>
      </c>
      <c r="P41" s="37" t="n">
        <v>1140</v>
      </c>
      <c r="Q41" s="37" t="n">
        <v>1140</v>
      </c>
      <c r="R41" s="37" t="n">
        <v>1140</v>
      </c>
      <c r="S41" s="37" t="n">
        <v>1140</v>
      </c>
      <c r="T41" s="37" t="n">
        <v>1140</v>
      </c>
      <c r="U41" s="37" t="n">
        <v>1140</v>
      </c>
    </row>
    <row r="42">
      <c r="A42" s="11" t="inlineStr">
        <is>
          <t>04-207</t>
        </is>
      </c>
      <c r="B42" s="38">
        <f>U42</f>
        <v/>
      </c>
      <c r="C42" s="51" t="n">
        <v>1450</v>
      </c>
      <c r="D42" s="38">
        <f>C42-B42</f>
        <v/>
      </c>
      <c r="E42" s="38" t="n">
        <v>1000</v>
      </c>
      <c r="F42" s="38" t="n">
        <v>1000</v>
      </c>
      <c r="G42" s="38" t="n">
        <v>1000</v>
      </c>
      <c r="H42" s="38" t="n">
        <v>1000</v>
      </c>
      <c r="I42" s="38" t="n">
        <v>1000</v>
      </c>
      <c r="J42" s="38" t="n">
        <v>1000</v>
      </c>
      <c r="K42" s="38" t="n">
        <v>1000</v>
      </c>
      <c r="L42" s="38" t="n">
        <v>1000</v>
      </c>
      <c r="M42" s="38" t="n">
        <v>1000</v>
      </c>
      <c r="N42" s="38" t="n">
        <v>1000</v>
      </c>
      <c r="O42" s="38" t="n">
        <v>1000</v>
      </c>
      <c r="P42" s="38" t="n">
        <v>1000</v>
      </c>
      <c r="Q42" s="38" t="n">
        <v>1000</v>
      </c>
      <c r="R42" s="38" t="n">
        <v>1000</v>
      </c>
      <c r="S42" s="38" t="n">
        <v>1000</v>
      </c>
      <c r="T42" s="38" t="n">
        <v>1000</v>
      </c>
      <c r="U42" s="38" t="n">
        <v>1000</v>
      </c>
    </row>
    <row r="43">
      <c r="A43" s="8" t="inlineStr">
        <is>
          <t>04-208</t>
        </is>
      </c>
      <c r="B43" s="37">
        <f>U43</f>
        <v/>
      </c>
      <c r="C43" s="52" t="n">
        <v>1450</v>
      </c>
      <c r="D43" s="37">
        <f>C43-B43</f>
        <v/>
      </c>
      <c r="E43" s="37" t="n">
        <v>1400</v>
      </c>
      <c r="F43" s="37" t="n">
        <v>1400</v>
      </c>
      <c r="G43" s="37" t="n">
        <v>1400</v>
      </c>
      <c r="H43" s="37" t="n">
        <v>1400</v>
      </c>
      <c r="I43" s="37" t="n">
        <v>1400</v>
      </c>
      <c r="J43" s="37" t="n">
        <v>1400</v>
      </c>
      <c r="K43" s="37" t="n">
        <v>1400</v>
      </c>
      <c r="L43" s="37" t="n">
        <v>1400</v>
      </c>
      <c r="M43" s="37" t="n">
        <v>1400</v>
      </c>
      <c r="N43" s="37" t="n">
        <v>1400</v>
      </c>
      <c r="O43" s="37" t="n">
        <v>1400</v>
      </c>
      <c r="P43" s="37" t="n">
        <v>1400</v>
      </c>
      <c r="Q43" s="37" t="inlineStr"/>
      <c r="R43" s="37" t="inlineStr"/>
      <c r="S43" s="37" t="n">
        <v>1500</v>
      </c>
      <c r="T43" s="37" t="n">
        <v>1500</v>
      </c>
      <c r="U43" s="37" t="n">
        <v>1500</v>
      </c>
    </row>
    <row r="44">
      <c r="A44" s="11" t="inlineStr">
        <is>
          <t>04-301</t>
        </is>
      </c>
      <c r="B44" s="38">
        <f>U44</f>
        <v/>
      </c>
      <c r="C44" s="51" t="n">
        <v>1450</v>
      </c>
      <c r="D44" s="38">
        <f>C44-B44</f>
        <v/>
      </c>
      <c r="E44" s="38" t="n">
        <v>1290</v>
      </c>
      <c r="F44" s="38" t="n">
        <v>1290</v>
      </c>
      <c r="G44" s="38" t="n">
        <v>1290</v>
      </c>
      <c r="H44" s="38" t="n">
        <v>1290</v>
      </c>
      <c r="I44" s="38" t="n">
        <v>1290</v>
      </c>
      <c r="J44" s="38" t="n">
        <v>1290</v>
      </c>
      <c r="K44" s="38" t="n">
        <v>1290</v>
      </c>
      <c r="L44" s="38" t="n">
        <v>1290</v>
      </c>
      <c r="M44" s="38" t="n">
        <v>1365</v>
      </c>
      <c r="N44" s="38" t="n">
        <v>1365</v>
      </c>
      <c r="O44" s="38" t="n">
        <v>1365</v>
      </c>
      <c r="P44" s="38" t="n">
        <v>1365</v>
      </c>
      <c r="Q44" s="38" t="n">
        <v>1365</v>
      </c>
      <c r="R44" s="38" t="n">
        <v>1365</v>
      </c>
      <c r="S44" s="38" t="n">
        <v>1365</v>
      </c>
      <c r="T44" s="38" t="n">
        <v>1365</v>
      </c>
      <c r="U44" s="38" t="n">
        <v>1365</v>
      </c>
    </row>
    <row r="45">
      <c r="A45" s="8" t="inlineStr">
        <is>
          <t>04-302</t>
        </is>
      </c>
      <c r="B45" s="37">
        <f>U45</f>
        <v/>
      </c>
      <c r="C45" s="52" t="n">
        <v>1450</v>
      </c>
      <c r="D45" s="37">
        <f>C45-B45</f>
        <v/>
      </c>
      <c r="E45" s="37" t="n">
        <v>1175</v>
      </c>
      <c r="F45" s="37" t="n">
        <v>1175</v>
      </c>
      <c r="G45" s="37" t="n">
        <v>1175</v>
      </c>
      <c r="H45" s="37" t="n">
        <v>1175</v>
      </c>
      <c r="I45" s="37" t="n">
        <v>1175</v>
      </c>
      <c r="J45" s="37" t="n">
        <v>1175</v>
      </c>
      <c r="K45" s="37" t="n">
        <v>1175</v>
      </c>
      <c r="L45" s="37" t="n">
        <v>1175</v>
      </c>
      <c r="M45" s="37" t="n">
        <v>1175</v>
      </c>
      <c r="N45" s="37" t="n">
        <v>1225</v>
      </c>
      <c r="O45" s="37" t="n">
        <v>1225</v>
      </c>
      <c r="P45" s="37" t="n">
        <v>1225</v>
      </c>
      <c r="Q45" s="37" t="n">
        <v>1225</v>
      </c>
      <c r="R45" s="37" t="n">
        <v>1225</v>
      </c>
      <c r="S45" s="37" t="n">
        <v>1225</v>
      </c>
      <c r="T45" s="37" t="n">
        <v>1225</v>
      </c>
      <c r="U45" s="37" t="n">
        <v>1225</v>
      </c>
    </row>
    <row r="46">
      <c r="A46" s="11" t="inlineStr">
        <is>
          <t>04-303</t>
        </is>
      </c>
      <c r="B46" s="38">
        <f>U46</f>
        <v/>
      </c>
      <c r="C46" s="51" t="n">
        <v>1450</v>
      </c>
      <c r="D46" s="38">
        <f>C46-B46</f>
        <v/>
      </c>
      <c r="E46" s="38" t="inlineStr"/>
      <c r="F46" s="38" t="inlineStr"/>
      <c r="G46" s="38" t="n">
        <v>1250</v>
      </c>
      <c r="H46" s="38" t="n">
        <v>1250</v>
      </c>
      <c r="I46" s="38" t="n">
        <v>1250</v>
      </c>
      <c r="J46" s="38" t="n">
        <v>1250</v>
      </c>
      <c r="K46" s="38" t="n">
        <v>1250</v>
      </c>
      <c r="L46" s="38" t="n">
        <v>1250</v>
      </c>
      <c r="M46" s="38" t="n">
        <v>1250</v>
      </c>
      <c r="N46" s="38" t="n">
        <v>1250</v>
      </c>
      <c r="O46" s="38" t="n">
        <v>1250</v>
      </c>
      <c r="P46" s="38" t="n">
        <v>1250</v>
      </c>
      <c r="Q46" s="38" t="n">
        <v>1250</v>
      </c>
      <c r="R46" s="38" t="n">
        <v>1250</v>
      </c>
      <c r="S46" s="38" t="n">
        <v>1250</v>
      </c>
      <c r="T46" s="38" t="n">
        <v>1250</v>
      </c>
      <c r="U46" s="38" t="n">
        <v>1250</v>
      </c>
    </row>
    <row r="47">
      <c r="A47" s="8" t="inlineStr">
        <is>
          <t>04-304</t>
        </is>
      </c>
      <c r="B47" s="37">
        <f>U47</f>
        <v/>
      </c>
      <c r="C47" s="52" t="n">
        <v>1450</v>
      </c>
      <c r="D47" s="37">
        <f>C47-B47</f>
        <v/>
      </c>
      <c r="E47" s="37" t="n">
        <v>1250</v>
      </c>
      <c r="F47" s="37" t="n">
        <v>1250</v>
      </c>
      <c r="G47" s="37" t="n">
        <v>1250</v>
      </c>
      <c r="H47" s="37" t="n">
        <v>1250</v>
      </c>
      <c r="I47" s="37" t="n">
        <v>1250</v>
      </c>
      <c r="J47" s="37" t="n">
        <v>1250</v>
      </c>
      <c r="K47" s="37" t="inlineStr"/>
      <c r="L47" s="37" t="inlineStr"/>
      <c r="M47" s="37" t="n">
        <v>1300</v>
      </c>
      <c r="N47" s="37" t="n">
        <v>1300</v>
      </c>
      <c r="O47" s="37" t="n">
        <v>1300</v>
      </c>
      <c r="P47" s="37" t="n">
        <v>1300</v>
      </c>
      <c r="Q47" s="37" t="n">
        <v>1300</v>
      </c>
      <c r="R47" s="37" t="n">
        <v>1300</v>
      </c>
      <c r="S47" s="37" t="n">
        <v>1300</v>
      </c>
      <c r="T47" s="37" t="n">
        <v>1300</v>
      </c>
      <c r="U47" s="37" t="n">
        <v>1300</v>
      </c>
    </row>
    <row r="48">
      <c r="A48" s="11" t="inlineStr">
        <is>
          <t>04-305</t>
        </is>
      </c>
      <c r="B48" s="38">
        <f>U48</f>
        <v/>
      </c>
      <c r="C48" s="51" t="n">
        <v>1450</v>
      </c>
      <c r="D48" s="38">
        <f>C48-B48</f>
        <v/>
      </c>
      <c r="E48" s="38" t="n">
        <v>1250</v>
      </c>
      <c r="F48" s="38" t="n">
        <v>1250</v>
      </c>
      <c r="G48" s="38" t="n">
        <v>1250</v>
      </c>
      <c r="H48" s="38" t="n">
        <v>1250</v>
      </c>
      <c r="I48" s="38" t="n">
        <v>1250</v>
      </c>
      <c r="J48" s="38" t="n">
        <v>1250</v>
      </c>
      <c r="K48" s="38" t="n">
        <v>1250</v>
      </c>
      <c r="L48" s="38" t="n">
        <v>1250</v>
      </c>
      <c r="M48" s="38" t="n">
        <v>1250</v>
      </c>
      <c r="N48" s="38" t="n">
        <v>1250</v>
      </c>
      <c r="O48" s="38" t="n">
        <v>1250</v>
      </c>
      <c r="P48" s="38" t="n">
        <v>1250</v>
      </c>
      <c r="Q48" s="38" t="n">
        <v>1250</v>
      </c>
      <c r="R48" s="38" t="n">
        <v>1250</v>
      </c>
      <c r="S48" s="38" t="n">
        <v>1250</v>
      </c>
      <c r="T48" s="38" t="n">
        <v>1250</v>
      </c>
      <c r="U48" s="38" t="n">
        <v>1250</v>
      </c>
    </row>
    <row r="49">
      <c r="A49" s="8" t="inlineStr">
        <is>
          <t>04-306</t>
        </is>
      </c>
      <c r="B49" s="37">
        <f>U49</f>
        <v/>
      </c>
      <c r="C49" s="52" t="n">
        <v>1450</v>
      </c>
      <c r="D49" s="37">
        <f>C49-B49</f>
        <v/>
      </c>
      <c r="E49" s="37" t="n">
        <v>1200</v>
      </c>
      <c r="F49" s="37" t="n">
        <v>1200</v>
      </c>
      <c r="G49" s="37" t="n">
        <v>1200</v>
      </c>
      <c r="H49" s="37" t="n">
        <v>1200</v>
      </c>
      <c r="I49" s="37" t="n">
        <v>1200</v>
      </c>
      <c r="J49" s="37" t="n">
        <v>1200</v>
      </c>
      <c r="K49" s="37" t="n">
        <v>1200</v>
      </c>
      <c r="L49" s="37" t="n">
        <v>1200</v>
      </c>
      <c r="M49" s="37" t="n">
        <v>1250</v>
      </c>
      <c r="N49" s="37" t="n">
        <v>1250</v>
      </c>
      <c r="O49" s="37" t="n">
        <v>1250</v>
      </c>
      <c r="P49" s="37" t="n">
        <v>1250</v>
      </c>
      <c r="Q49" s="37" t="n">
        <v>1250</v>
      </c>
      <c r="R49" s="37" t="n">
        <v>1250</v>
      </c>
      <c r="S49" s="37" t="n">
        <v>1250</v>
      </c>
      <c r="T49" s="37" t="n">
        <v>1250</v>
      </c>
      <c r="U49" s="37" t="inlineStr"/>
    </row>
    <row r="50">
      <c r="A50" s="11" t="inlineStr">
        <is>
          <t>04-307</t>
        </is>
      </c>
      <c r="B50" s="38">
        <f>U50</f>
        <v/>
      </c>
      <c r="C50" s="51" t="n">
        <v>1450</v>
      </c>
      <c r="D50" s="38">
        <f>C50-B50</f>
        <v/>
      </c>
      <c r="E50" s="38" t="n">
        <v>1350</v>
      </c>
      <c r="F50" s="38" t="n">
        <v>1350</v>
      </c>
      <c r="G50" s="38" t="n">
        <v>1350</v>
      </c>
      <c r="H50" s="38" t="n">
        <v>1350</v>
      </c>
      <c r="I50" s="38" t="n">
        <v>1350</v>
      </c>
      <c r="J50" s="38" t="n">
        <v>1350</v>
      </c>
      <c r="K50" s="38" t="n">
        <v>1350</v>
      </c>
      <c r="L50" s="38" t="n">
        <v>1350</v>
      </c>
      <c r="M50" s="38" t="n">
        <v>1350</v>
      </c>
      <c r="N50" s="38" t="n">
        <v>1350</v>
      </c>
      <c r="O50" s="38" t="n">
        <v>1350</v>
      </c>
      <c r="P50" s="38" t="n">
        <v>1350</v>
      </c>
      <c r="Q50" s="38" t="n">
        <v>1350</v>
      </c>
      <c r="R50" s="38" t="n">
        <v>1350</v>
      </c>
      <c r="S50" s="38" t="n">
        <v>1350</v>
      </c>
      <c r="T50" s="38" t="n">
        <v>1350</v>
      </c>
      <c r="U50" s="38" t="n">
        <v>1350</v>
      </c>
    </row>
    <row r="51">
      <c r="A51" s="8" t="inlineStr">
        <is>
          <t>04-308</t>
        </is>
      </c>
      <c r="B51" s="37">
        <f>U51</f>
        <v/>
      </c>
      <c r="C51" s="52" t="n">
        <v>1450</v>
      </c>
      <c r="D51" s="37">
        <f>C51-B51</f>
        <v/>
      </c>
      <c r="E51" s="37" t="n">
        <v>1400</v>
      </c>
      <c r="F51" s="37" t="n">
        <v>1400</v>
      </c>
      <c r="G51" s="37" t="n">
        <v>1400</v>
      </c>
      <c r="H51" s="37" t="n">
        <v>1400</v>
      </c>
      <c r="I51" s="37" t="n">
        <v>1400</v>
      </c>
      <c r="J51" s="37" t="n">
        <v>1400</v>
      </c>
      <c r="K51" s="37" t="n">
        <v>1400</v>
      </c>
      <c r="L51" s="37" t="n">
        <v>1400</v>
      </c>
      <c r="M51" s="37" t="n">
        <v>1400</v>
      </c>
      <c r="N51" s="37" t="inlineStr"/>
      <c r="O51" s="37" t="n">
        <v>1500</v>
      </c>
      <c r="P51" s="37" t="n">
        <v>1500</v>
      </c>
      <c r="Q51" s="37" t="n">
        <v>1500</v>
      </c>
      <c r="R51" s="37" t="n">
        <v>1500</v>
      </c>
      <c r="S51" s="37" t="n">
        <v>1500</v>
      </c>
      <c r="T51" s="37" t="n">
        <v>1500</v>
      </c>
      <c r="U51" s="37" t="n">
        <v>1500</v>
      </c>
    </row>
    <row r="52">
      <c r="A52" s="11" t="inlineStr">
        <is>
          <t>06-101</t>
        </is>
      </c>
      <c r="B52" s="38">
        <f>U52</f>
        <v/>
      </c>
      <c r="C52" s="51" t="n">
        <v>1450</v>
      </c>
      <c r="D52" s="38">
        <f>C52-B52</f>
        <v/>
      </c>
      <c r="E52" s="38" t="n">
        <v>1290</v>
      </c>
      <c r="F52" s="38" t="n">
        <v>1290</v>
      </c>
      <c r="G52" s="38" t="n">
        <v>1290</v>
      </c>
      <c r="H52" s="38" t="n">
        <v>1290</v>
      </c>
      <c r="I52" s="38" t="n">
        <v>1290</v>
      </c>
      <c r="J52" s="38" t="n">
        <v>1290</v>
      </c>
      <c r="K52" s="38" t="n">
        <v>1290</v>
      </c>
      <c r="L52" s="38" t="n">
        <v>1290</v>
      </c>
      <c r="M52" s="38" t="n">
        <v>1290</v>
      </c>
      <c r="N52" s="38" t="n">
        <v>1290</v>
      </c>
      <c r="O52" s="38" t="n">
        <v>1290</v>
      </c>
      <c r="P52" s="38" t="n">
        <v>1365</v>
      </c>
      <c r="Q52" s="38" t="n">
        <v>1365</v>
      </c>
      <c r="R52" s="38" t="n">
        <v>1365</v>
      </c>
      <c r="S52" s="38" t="n">
        <v>1365</v>
      </c>
      <c r="T52" s="38" t="n">
        <v>1365</v>
      </c>
      <c r="U52" s="38" t="n">
        <v>1335</v>
      </c>
    </row>
    <row r="53">
      <c r="A53" s="8" t="inlineStr">
        <is>
          <t>06-102</t>
        </is>
      </c>
      <c r="B53" s="37">
        <f>U53</f>
        <v/>
      </c>
      <c r="C53" s="52" t="n">
        <v>1450</v>
      </c>
      <c r="D53" s="37">
        <f>C53-B53</f>
        <v/>
      </c>
      <c r="E53" s="37" t="n">
        <v>1310</v>
      </c>
      <c r="F53" s="37" t="n">
        <v>1310</v>
      </c>
      <c r="G53" s="37" t="n">
        <v>1310</v>
      </c>
      <c r="H53" s="37" t="n">
        <v>1310</v>
      </c>
      <c r="I53" s="37" t="n">
        <v>1310</v>
      </c>
      <c r="J53" s="37" t="n">
        <v>1310</v>
      </c>
      <c r="K53" s="37" t="n">
        <v>1310</v>
      </c>
      <c r="L53" s="37" t="n">
        <v>1310</v>
      </c>
      <c r="M53" s="37" t="n">
        <v>1375</v>
      </c>
      <c r="N53" s="37" t="n">
        <v>1375</v>
      </c>
      <c r="O53" s="37" t="n">
        <v>1375</v>
      </c>
      <c r="P53" s="37" t="n">
        <v>1375</v>
      </c>
      <c r="Q53" s="37" t="n">
        <v>1375</v>
      </c>
      <c r="R53" s="37" t="n">
        <v>1375</v>
      </c>
      <c r="S53" s="37" t="n">
        <v>1375</v>
      </c>
      <c r="T53" s="37" t="n">
        <v>1375</v>
      </c>
      <c r="U53" s="37" t="n">
        <v>1375</v>
      </c>
    </row>
    <row r="54">
      <c r="A54" s="11" t="inlineStr">
        <is>
          <t>06-103</t>
        </is>
      </c>
      <c r="B54" s="38">
        <f>U54</f>
        <v/>
      </c>
      <c r="C54" s="51" t="n">
        <v>1450</v>
      </c>
      <c r="D54" s="38">
        <f>C54-B54</f>
        <v/>
      </c>
      <c r="E54" s="38" t="n">
        <v>1250</v>
      </c>
      <c r="F54" s="38" t="n">
        <v>1250</v>
      </c>
      <c r="G54" s="38" t="n">
        <v>1250</v>
      </c>
      <c r="H54" s="38" t="n">
        <v>1250</v>
      </c>
      <c r="I54" s="38" t="n">
        <v>1250</v>
      </c>
      <c r="J54" s="38" t="n">
        <v>1250</v>
      </c>
      <c r="K54" s="38" t="n">
        <v>1250</v>
      </c>
      <c r="L54" s="38" t="n">
        <v>1250</v>
      </c>
      <c r="M54" s="38" t="n">
        <v>1300</v>
      </c>
      <c r="N54" s="38" t="n">
        <v>1300</v>
      </c>
      <c r="O54" s="38" t="n">
        <v>1300</v>
      </c>
      <c r="P54" s="38" t="n">
        <v>1300</v>
      </c>
      <c r="Q54" s="38" t="n">
        <v>1300</v>
      </c>
      <c r="R54" s="38" t="n">
        <v>1300</v>
      </c>
      <c r="S54" s="38" t="n">
        <v>1300</v>
      </c>
      <c r="T54" s="38" t="n">
        <v>1300</v>
      </c>
      <c r="U54" s="38" t="n">
        <v>1300</v>
      </c>
    </row>
    <row r="55">
      <c r="A55" s="8" t="inlineStr">
        <is>
          <t>06-104</t>
        </is>
      </c>
      <c r="B55" s="37">
        <f>U55</f>
        <v/>
      </c>
      <c r="C55" s="52" t="n">
        <v>1450</v>
      </c>
      <c r="D55" s="37">
        <f>C55-B55</f>
        <v/>
      </c>
      <c r="E55" s="37" t="n">
        <v>1250</v>
      </c>
      <c r="F55" s="37" t="n">
        <v>1250</v>
      </c>
      <c r="G55" s="37" t="n">
        <v>1250</v>
      </c>
      <c r="H55" s="37" t="n">
        <v>1250</v>
      </c>
      <c r="I55" s="37" t="n">
        <v>1250</v>
      </c>
      <c r="J55" s="37" t="n">
        <v>1250</v>
      </c>
      <c r="K55" s="37" t="n">
        <v>1250</v>
      </c>
      <c r="L55" s="37" t="n">
        <v>1250</v>
      </c>
      <c r="M55" s="37" t="n">
        <v>1250</v>
      </c>
      <c r="N55" s="37" t="n">
        <v>1275</v>
      </c>
      <c r="O55" s="37" t="n">
        <v>1275</v>
      </c>
      <c r="P55" s="37" t="n">
        <v>1275</v>
      </c>
      <c r="Q55" s="37" t="n">
        <v>1275</v>
      </c>
      <c r="R55" s="37" t="n">
        <v>1275</v>
      </c>
      <c r="S55" s="37" t="n">
        <v>1275</v>
      </c>
      <c r="T55" s="37" t="n">
        <v>1275</v>
      </c>
      <c r="U55" s="37" t="n">
        <v>1275</v>
      </c>
    </row>
    <row r="56">
      <c r="A56" s="11" t="inlineStr">
        <is>
          <t>06-105</t>
        </is>
      </c>
      <c r="B56" s="38">
        <f>U56</f>
        <v/>
      </c>
      <c r="C56" s="51" t="n">
        <v>1450</v>
      </c>
      <c r="D56" s="38">
        <f>C56-B56</f>
        <v/>
      </c>
      <c r="E56" s="38" t="n">
        <v>1090</v>
      </c>
      <c r="F56" s="38" t="n">
        <v>1090</v>
      </c>
      <c r="G56" s="38" t="n">
        <v>1090</v>
      </c>
      <c r="H56" s="38" t="n">
        <v>1090</v>
      </c>
      <c r="I56" s="38" t="n">
        <v>1090</v>
      </c>
      <c r="J56" s="38" t="n">
        <v>1090</v>
      </c>
      <c r="K56" s="38" t="n">
        <v>1090</v>
      </c>
      <c r="L56" s="38" t="n">
        <v>1090</v>
      </c>
      <c r="M56" s="38" t="n">
        <v>1150</v>
      </c>
      <c r="N56" s="38" t="n">
        <v>1150</v>
      </c>
      <c r="O56" s="38" t="n">
        <v>1150</v>
      </c>
      <c r="P56" s="38" t="n">
        <v>1150</v>
      </c>
      <c r="Q56" s="38" t="n">
        <v>1150</v>
      </c>
      <c r="R56" s="38" t="n">
        <v>1150</v>
      </c>
      <c r="S56" s="38" t="n">
        <v>1150</v>
      </c>
      <c r="T56" s="38" t="n">
        <v>1150</v>
      </c>
      <c r="U56" s="38" t="n">
        <v>1150</v>
      </c>
    </row>
    <row r="57">
      <c r="A57" s="8" t="inlineStr">
        <is>
          <t>06-106</t>
        </is>
      </c>
      <c r="B57" s="37">
        <f>U57</f>
        <v/>
      </c>
      <c r="C57" s="52" t="n">
        <v>1450</v>
      </c>
      <c r="D57" s="37">
        <f>C57-B57</f>
        <v/>
      </c>
      <c r="E57" s="37" t="n">
        <v>1300</v>
      </c>
      <c r="F57" s="37" t="n">
        <v>1300</v>
      </c>
      <c r="G57" s="37" t="n">
        <v>1300</v>
      </c>
      <c r="H57" s="37" t="n">
        <v>1300</v>
      </c>
      <c r="I57" s="37" t="n">
        <v>1300</v>
      </c>
      <c r="J57" s="37" t="n">
        <v>1300</v>
      </c>
      <c r="K57" s="37" t="n">
        <v>1300</v>
      </c>
      <c r="L57" s="37" t="n">
        <v>1300</v>
      </c>
      <c r="M57" s="37" t="n">
        <v>1300</v>
      </c>
      <c r="N57" s="37" t="n">
        <v>1300</v>
      </c>
      <c r="O57" s="37" t="n">
        <v>1300</v>
      </c>
      <c r="P57" s="37" t="n">
        <v>1300</v>
      </c>
      <c r="Q57" s="37" t="inlineStr"/>
      <c r="R57" s="37" t="n">
        <v>1250</v>
      </c>
      <c r="S57" s="37" t="n">
        <v>1250</v>
      </c>
      <c r="T57" s="37" t="n">
        <v>1250</v>
      </c>
      <c r="U57" s="37" t="n">
        <v>1300</v>
      </c>
    </row>
    <row r="58">
      <c r="A58" s="11" t="inlineStr">
        <is>
          <t>06-107</t>
        </is>
      </c>
      <c r="B58" s="38">
        <f>U58</f>
        <v/>
      </c>
      <c r="C58" s="51" t="n">
        <v>1450</v>
      </c>
      <c r="D58" s="38">
        <f>C58-B58</f>
        <v/>
      </c>
      <c r="E58" s="38" t="n">
        <v>1300</v>
      </c>
      <c r="F58" s="38" t="n">
        <v>1330</v>
      </c>
      <c r="G58" s="38" t="n">
        <v>1330</v>
      </c>
      <c r="H58" s="38" t="n">
        <v>1330</v>
      </c>
      <c r="I58" s="38" t="n">
        <v>1330</v>
      </c>
      <c r="J58" s="38" t="n">
        <v>1330</v>
      </c>
      <c r="K58" s="38" t="n">
        <v>1330</v>
      </c>
      <c r="L58" s="38" t="n">
        <v>1330</v>
      </c>
      <c r="M58" s="38" t="n">
        <v>1405</v>
      </c>
      <c r="N58" s="38" t="n">
        <v>1405</v>
      </c>
      <c r="O58" s="38" t="n">
        <v>1405</v>
      </c>
      <c r="P58" s="38" t="n">
        <v>1405</v>
      </c>
      <c r="Q58" s="38" t="n">
        <v>1405</v>
      </c>
      <c r="R58" s="38" t="n">
        <v>1405</v>
      </c>
      <c r="S58" s="38" t="n">
        <v>1405</v>
      </c>
      <c r="T58" s="38" t="n">
        <v>1405</v>
      </c>
      <c r="U58" s="38" t="n">
        <v>1405</v>
      </c>
    </row>
    <row r="59">
      <c r="A59" s="8" t="inlineStr">
        <is>
          <t>06-108</t>
        </is>
      </c>
      <c r="B59" s="37">
        <f>U59</f>
        <v/>
      </c>
      <c r="C59" s="52" t="n">
        <v>1450</v>
      </c>
      <c r="D59" s="37">
        <f>C59-B59</f>
        <v/>
      </c>
      <c r="E59" s="37" t="n">
        <v>1290</v>
      </c>
      <c r="F59" s="37" t="n">
        <v>1290</v>
      </c>
      <c r="G59" s="37" t="n">
        <v>1290</v>
      </c>
      <c r="H59" s="37" t="n">
        <v>1290</v>
      </c>
      <c r="I59" s="37" t="n">
        <v>1290</v>
      </c>
      <c r="J59" s="37" t="n">
        <v>1290</v>
      </c>
      <c r="K59" s="37" t="n">
        <v>1290</v>
      </c>
      <c r="L59" s="37" t="n">
        <v>1290</v>
      </c>
      <c r="M59" s="37" t="n">
        <v>1350</v>
      </c>
      <c r="N59" s="37" t="n">
        <v>1350</v>
      </c>
      <c r="O59" s="37" t="n">
        <v>1350</v>
      </c>
      <c r="P59" s="37" t="n">
        <v>1350</v>
      </c>
      <c r="Q59" s="37" t="n">
        <v>1350</v>
      </c>
      <c r="R59" s="37" t="n">
        <v>1350</v>
      </c>
      <c r="S59" s="37" t="n">
        <v>1350</v>
      </c>
      <c r="T59" s="37" t="n">
        <v>1350</v>
      </c>
      <c r="U59" s="37" t="n">
        <v>1350</v>
      </c>
    </row>
    <row r="60">
      <c r="A60" s="11" t="inlineStr">
        <is>
          <t>06-201</t>
        </is>
      </c>
      <c r="B60" s="38">
        <f>U60</f>
        <v/>
      </c>
      <c r="C60" s="51" t="n">
        <v>1450</v>
      </c>
      <c r="D60" s="38">
        <f>C60-B60</f>
        <v/>
      </c>
      <c r="E60" s="38" t="n">
        <v>1450</v>
      </c>
      <c r="F60" s="38" t="n">
        <v>1450</v>
      </c>
      <c r="G60" s="38" t="n">
        <v>1450</v>
      </c>
      <c r="H60" s="38" t="n">
        <v>1450</v>
      </c>
      <c r="I60" s="38" t="n">
        <v>1450</v>
      </c>
      <c r="J60" s="38" t="n">
        <v>1450</v>
      </c>
      <c r="K60" s="38" t="n">
        <v>1450</v>
      </c>
      <c r="L60" s="38" t="n">
        <v>1450</v>
      </c>
      <c r="M60" s="38" t="n">
        <v>1450</v>
      </c>
      <c r="N60" s="38" t="n">
        <v>1475</v>
      </c>
      <c r="O60" s="38" t="n">
        <v>1475</v>
      </c>
      <c r="P60" s="38" t="n">
        <v>1475</v>
      </c>
      <c r="Q60" s="38" t="n">
        <v>1475</v>
      </c>
      <c r="R60" s="38" t="n">
        <v>1475</v>
      </c>
      <c r="S60" s="38" t="n">
        <v>1475</v>
      </c>
      <c r="T60" s="38" t="n">
        <v>1475</v>
      </c>
      <c r="U60" s="38" t="n">
        <v>1475</v>
      </c>
    </row>
    <row r="61">
      <c r="A61" s="8" t="inlineStr">
        <is>
          <t>06-202</t>
        </is>
      </c>
      <c r="B61" s="37">
        <f>U61</f>
        <v/>
      </c>
      <c r="C61" s="52" t="n">
        <v>1450</v>
      </c>
      <c r="D61" s="37">
        <f>C61-B61</f>
        <v/>
      </c>
      <c r="E61" s="37" t="n">
        <v>1230</v>
      </c>
      <c r="F61" s="37" t="n">
        <v>1230</v>
      </c>
      <c r="G61" s="37" t="n">
        <v>1230</v>
      </c>
      <c r="H61" s="37" t="n">
        <v>1230</v>
      </c>
      <c r="I61" s="37" t="n">
        <v>1230</v>
      </c>
      <c r="J61" s="37" t="n">
        <v>1230</v>
      </c>
      <c r="K61" s="37" t="n">
        <v>1230</v>
      </c>
      <c r="L61" s="37" t="n">
        <v>1230</v>
      </c>
      <c r="M61" s="37" t="inlineStr"/>
      <c r="N61" s="37" t="inlineStr"/>
      <c r="O61" s="37" t="n">
        <v>1500</v>
      </c>
      <c r="P61" s="37" t="n">
        <v>1500</v>
      </c>
      <c r="Q61" s="37" t="n">
        <v>1500</v>
      </c>
      <c r="R61" s="37" t="n">
        <v>1500</v>
      </c>
      <c r="S61" s="37" t="n">
        <v>1500</v>
      </c>
      <c r="T61" s="37" t="n">
        <v>1500</v>
      </c>
      <c r="U61" s="37" t="n">
        <v>1500</v>
      </c>
    </row>
    <row r="62">
      <c r="A62" s="11" t="inlineStr">
        <is>
          <t>06-203</t>
        </is>
      </c>
      <c r="B62" s="38">
        <f>U62</f>
        <v/>
      </c>
      <c r="C62" s="51" t="n">
        <v>1450</v>
      </c>
      <c r="D62" s="38">
        <f>C62-B62</f>
        <v/>
      </c>
      <c r="E62" s="38" t="n">
        <v>1275</v>
      </c>
      <c r="F62" s="38" t="n">
        <v>1275</v>
      </c>
      <c r="G62" s="38" t="n">
        <v>1275</v>
      </c>
      <c r="H62" s="38" t="n">
        <v>1275</v>
      </c>
      <c r="I62" s="38" t="n">
        <v>1275</v>
      </c>
      <c r="J62" s="38" t="n">
        <v>1275</v>
      </c>
      <c r="K62" s="38" t="n">
        <v>1275</v>
      </c>
      <c r="L62" s="38" t="n">
        <v>1275</v>
      </c>
      <c r="M62" s="38" t="n">
        <v>1275</v>
      </c>
      <c r="N62" s="38" t="n">
        <v>1275</v>
      </c>
      <c r="O62" s="38" t="n">
        <v>1275</v>
      </c>
      <c r="P62" s="38" t="n">
        <v>1275</v>
      </c>
      <c r="Q62" s="38" t="n">
        <v>1275</v>
      </c>
      <c r="R62" s="38" t="n">
        <v>1275</v>
      </c>
      <c r="S62" s="38" t="n">
        <v>1275</v>
      </c>
      <c r="T62" s="38" t="n">
        <v>1275</v>
      </c>
      <c r="U62" s="38" t="n">
        <v>1275</v>
      </c>
    </row>
    <row r="63">
      <c r="A63" s="8" t="inlineStr">
        <is>
          <t>06-204</t>
        </is>
      </c>
      <c r="B63" s="37">
        <f>U63</f>
        <v/>
      </c>
      <c r="C63" s="52" t="n">
        <v>1450</v>
      </c>
      <c r="D63" s="37">
        <f>C63-B63</f>
        <v/>
      </c>
      <c r="E63" s="37" t="n">
        <v>1300</v>
      </c>
      <c r="F63" s="37" t="n">
        <v>1300</v>
      </c>
      <c r="G63" s="37" t="n">
        <v>1300</v>
      </c>
      <c r="H63" s="37" t="n">
        <v>1300</v>
      </c>
      <c r="I63" s="37" t="n">
        <v>1300</v>
      </c>
      <c r="J63" s="37" t="n">
        <v>1300</v>
      </c>
      <c r="K63" s="37" t="n">
        <v>1300</v>
      </c>
      <c r="L63" s="37" t="n">
        <v>1300</v>
      </c>
      <c r="M63" s="37" t="n">
        <v>1300</v>
      </c>
      <c r="N63" s="37" t="n">
        <v>1300</v>
      </c>
      <c r="O63" s="37" t="n">
        <v>1300</v>
      </c>
      <c r="P63" s="37" t="n">
        <v>1300</v>
      </c>
      <c r="Q63" s="37" t="n">
        <v>1300</v>
      </c>
      <c r="R63" s="37" t="n">
        <v>1300</v>
      </c>
      <c r="S63" s="37" t="n">
        <v>1300</v>
      </c>
      <c r="T63" s="37" t="n">
        <v>1300</v>
      </c>
      <c r="U63" s="37" t="n">
        <v>1300</v>
      </c>
    </row>
    <row r="64">
      <c r="A64" s="11" t="inlineStr">
        <is>
          <t>06-205</t>
        </is>
      </c>
      <c r="B64" s="38">
        <f>U64</f>
        <v/>
      </c>
      <c r="C64" s="51" t="n">
        <v>1450</v>
      </c>
      <c r="D64" s="38">
        <f>C64-B64</f>
        <v/>
      </c>
      <c r="E64" s="38" t="inlineStr"/>
      <c r="F64" s="38" t="inlineStr"/>
      <c r="G64" s="38" t="n">
        <v>1000</v>
      </c>
      <c r="H64" s="38" t="n">
        <v>1000</v>
      </c>
      <c r="I64" s="38" t="n">
        <v>1000</v>
      </c>
      <c r="J64" s="38" t="n">
        <v>1000</v>
      </c>
      <c r="K64" s="38" t="n">
        <v>1000</v>
      </c>
      <c r="L64" s="38" t="n">
        <v>1000</v>
      </c>
      <c r="M64" s="38" t="n">
        <v>1000</v>
      </c>
      <c r="N64" s="38" t="n">
        <v>1000</v>
      </c>
      <c r="O64" s="38" t="n">
        <v>1000</v>
      </c>
      <c r="P64" s="38" t="n">
        <v>1050</v>
      </c>
      <c r="Q64" s="38" t="n">
        <v>1050</v>
      </c>
      <c r="R64" s="38" t="n">
        <v>1050</v>
      </c>
      <c r="S64" s="38" t="n">
        <v>1050</v>
      </c>
      <c r="T64" s="38" t="n">
        <v>1050</v>
      </c>
      <c r="U64" s="38" t="n">
        <v>1050</v>
      </c>
    </row>
    <row r="65">
      <c r="A65" s="8" t="inlineStr">
        <is>
          <t>06-206</t>
        </is>
      </c>
      <c r="B65" s="37">
        <f>U65</f>
        <v/>
      </c>
      <c r="C65" s="52" t="n">
        <v>1450</v>
      </c>
      <c r="D65" s="37">
        <f>C65-B65</f>
        <v/>
      </c>
      <c r="E65" s="37" t="inlineStr"/>
      <c r="F65" s="37" t="inlineStr"/>
      <c r="G65" s="37" t="inlineStr"/>
      <c r="H65" s="37" t="n">
        <v>1250</v>
      </c>
      <c r="I65" s="37" t="n">
        <v>1250</v>
      </c>
      <c r="J65" s="37" t="n">
        <v>1250</v>
      </c>
      <c r="K65" s="37" t="n">
        <v>1250</v>
      </c>
      <c r="L65" s="37" t="n">
        <v>1250</v>
      </c>
      <c r="M65" s="37" t="n">
        <v>1250</v>
      </c>
      <c r="N65" s="37" t="n">
        <v>1250</v>
      </c>
      <c r="O65" s="37" t="n">
        <v>1250</v>
      </c>
      <c r="P65" s="37" t="n">
        <v>1250</v>
      </c>
      <c r="Q65" s="37" t="n">
        <v>1250</v>
      </c>
      <c r="R65" s="37" t="n">
        <v>1250</v>
      </c>
      <c r="S65" s="37" t="n">
        <v>1250</v>
      </c>
      <c r="T65" s="37" t="n">
        <v>1250</v>
      </c>
      <c r="U65" s="37" t="n">
        <v>1250</v>
      </c>
    </row>
    <row r="66">
      <c r="A66" s="11" t="inlineStr">
        <is>
          <t>06-207</t>
        </is>
      </c>
      <c r="B66" s="38">
        <f>U66</f>
        <v/>
      </c>
      <c r="C66" s="51" t="n">
        <v>1450</v>
      </c>
      <c r="D66" s="38">
        <f>C66-B66</f>
        <v/>
      </c>
      <c r="E66" s="38" t="n">
        <v>1330</v>
      </c>
      <c r="F66" s="38" t="n">
        <v>1330</v>
      </c>
      <c r="G66" s="38" t="n">
        <v>1330</v>
      </c>
      <c r="H66" s="38" t="n">
        <v>1330</v>
      </c>
      <c r="I66" s="38" t="n">
        <v>1330</v>
      </c>
      <c r="J66" s="38" t="n">
        <v>1330</v>
      </c>
      <c r="K66" s="38" t="n">
        <v>1550</v>
      </c>
      <c r="L66" s="38" t="n">
        <v>1550</v>
      </c>
      <c r="M66" s="38" t="n">
        <v>1550</v>
      </c>
      <c r="N66" s="38" t="n">
        <v>1550</v>
      </c>
      <c r="O66" s="38" t="n">
        <v>1550</v>
      </c>
      <c r="P66" s="38" t="n">
        <v>1550</v>
      </c>
      <c r="Q66" s="38" t="n">
        <v>1550</v>
      </c>
      <c r="R66" s="38" t="n">
        <v>1550</v>
      </c>
      <c r="S66" s="38" t="n">
        <v>1550</v>
      </c>
      <c r="T66" s="38" t="n">
        <v>1550</v>
      </c>
      <c r="U66" s="38" t="n">
        <v>1550</v>
      </c>
    </row>
    <row r="67">
      <c r="A67" s="8" t="inlineStr">
        <is>
          <t>06-208</t>
        </is>
      </c>
      <c r="B67" s="37">
        <f>U67</f>
        <v/>
      </c>
      <c r="C67" s="52" t="n">
        <v>1450</v>
      </c>
      <c r="D67" s="37">
        <f>C67-B67</f>
        <v/>
      </c>
      <c r="E67" s="37" t="n">
        <v>1265</v>
      </c>
      <c r="F67" s="37" t="n">
        <v>1265</v>
      </c>
      <c r="G67" s="37" t="n">
        <v>1265</v>
      </c>
      <c r="H67" s="37" t="n">
        <v>1265</v>
      </c>
      <c r="I67" s="37" t="n">
        <v>1265</v>
      </c>
      <c r="J67" s="37" t="n">
        <v>1265</v>
      </c>
      <c r="K67" s="37" t="n">
        <v>1265</v>
      </c>
      <c r="L67" s="37" t="n">
        <v>1265</v>
      </c>
      <c r="M67" s="37" t="n">
        <v>1315</v>
      </c>
      <c r="N67" s="37" t="n">
        <v>1315</v>
      </c>
      <c r="O67" s="37" t="n">
        <v>1315</v>
      </c>
      <c r="P67" s="37" t="n">
        <v>1315</v>
      </c>
      <c r="Q67" s="37" t="n">
        <v>1315</v>
      </c>
      <c r="R67" s="37" t="n">
        <v>1315</v>
      </c>
      <c r="S67" s="37" t="n">
        <v>1315</v>
      </c>
      <c r="T67" s="37" t="n">
        <v>1315</v>
      </c>
      <c r="U67" s="37" t="n">
        <v>1315</v>
      </c>
    </row>
    <row r="68">
      <c r="A68" s="11" t="inlineStr">
        <is>
          <t>06-301</t>
        </is>
      </c>
      <c r="B68" s="38">
        <f>U68</f>
        <v/>
      </c>
      <c r="C68" s="51" t="n">
        <v>1450</v>
      </c>
      <c r="D68" s="38">
        <f>C68-B68</f>
        <v/>
      </c>
      <c r="E68" s="38" t="n">
        <v>1295</v>
      </c>
      <c r="F68" s="38" t="n">
        <v>1295</v>
      </c>
      <c r="G68" s="38" t="n">
        <v>1295</v>
      </c>
      <c r="H68" s="38" t="n">
        <v>1295</v>
      </c>
      <c r="I68" s="38" t="n">
        <v>1295</v>
      </c>
      <c r="J68" s="38" t="n">
        <v>1295</v>
      </c>
      <c r="K68" s="38" t="n">
        <v>1295</v>
      </c>
      <c r="L68" s="38" t="n">
        <v>1295</v>
      </c>
      <c r="M68" s="38" t="n">
        <v>1350</v>
      </c>
      <c r="N68" s="38" t="n">
        <v>1350</v>
      </c>
      <c r="O68" s="38" t="n">
        <v>1350</v>
      </c>
      <c r="P68" s="38" t="n">
        <v>1350</v>
      </c>
      <c r="Q68" s="38" t="n">
        <v>1350</v>
      </c>
      <c r="R68" s="38" t="n">
        <v>1350</v>
      </c>
      <c r="S68" s="38" t="n">
        <v>1350</v>
      </c>
      <c r="T68" s="38" t="n">
        <v>1350</v>
      </c>
      <c r="U68" s="38" t="n">
        <v>1350</v>
      </c>
    </row>
    <row r="69">
      <c r="A69" s="8" t="inlineStr">
        <is>
          <t>06-302</t>
        </is>
      </c>
      <c r="B69" s="37">
        <f>U69</f>
        <v/>
      </c>
      <c r="C69" s="52" t="n">
        <v>1450</v>
      </c>
      <c r="D69" s="37">
        <f>C69-B69</f>
        <v/>
      </c>
      <c r="E69" s="37" t="n">
        <v>1450</v>
      </c>
      <c r="F69" s="37" t="n">
        <v>1450</v>
      </c>
      <c r="G69" s="37" t="n">
        <v>1450</v>
      </c>
      <c r="H69" s="37" t="n">
        <v>1450</v>
      </c>
      <c r="I69" s="37" t="n">
        <v>1450</v>
      </c>
      <c r="J69" s="37" t="n">
        <v>1450</v>
      </c>
      <c r="K69" s="37" t="n">
        <v>1450</v>
      </c>
      <c r="L69" s="37" t="n">
        <v>1450</v>
      </c>
      <c r="M69" s="37" t="inlineStr"/>
      <c r="N69" s="37" t="n">
        <v>1500</v>
      </c>
      <c r="O69" s="37" t="n">
        <v>1500</v>
      </c>
      <c r="P69" s="37" t="n">
        <v>1500</v>
      </c>
      <c r="Q69" s="37" t="n">
        <v>1500</v>
      </c>
      <c r="R69" s="37" t="n">
        <v>1500</v>
      </c>
      <c r="S69" s="37" t="n">
        <v>1500</v>
      </c>
      <c r="T69" s="37" t="n">
        <v>1500</v>
      </c>
      <c r="U69" s="37" t="n">
        <v>1500</v>
      </c>
    </row>
    <row r="70">
      <c r="A70" s="11" t="inlineStr">
        <is>
          <t>06-303</t>
        </is>
      </c>
      <c r="B70" s="38">
        <f>U70</f>
        <v/>
      </c>
      <c r="C70" s="51" t="n">
        <v>1450</v>
      </c>
      <c r="D70" s="38">
        <f>C70-B70</f>
        <v/>
      </c>
      <c r="E70" s="38" t="n">
        <v>1225</v>
      </c>
      <c r="F70" s="38" t="n">
        <v>1225</v>
      </c>
      <c r="G70" s="38" t="n">
        <v>1225</v>
      </c>
      <c r="H70" s="38" t="n">
        <v>1225</v>
      </c>
      <c r="I70" s="38" t="n">
        <v>1225</v>
      </c>
      <c r="J70" s="38" t="n">
        <v>1225</v>
      </c>
      <c r="K70" s="38" t="n">
        <v>1225</v>
      </c>
      <c r="L70" s="38" t="n">
        <v>1225</v>
      </c>
      <c r="M70" s="38" t="inlineStr"/>
      <c r="N70" s="38" t="inlineStr"/>
      <c r="O70" s="38" t="n">
        <v>1300</v>
      </c>
      <c r="P70" s="38" t="n">
        <v>1300</v>
      </c>
      <c r="Q70" s="38" t="n">
        <v>1300</v>
      </c>
      <c r="R70" s="38" t="n">
        <v>1300</v>
      </c>
      <c r="S70" s="38" t="n">
        <v>1300</v>
      </c>
      <c r="T70" s="38" t="n">
        <v>1300</v>
      </c>
      <c r="U70" s="38" t="n">
        <v>1300</v>
      </c>
    </row>
    <row r="71">
      <c r="A71" s="8" t="inlineStr">
        <is>
          <t>06-304</t>
        </is>
      </c>
      <c r="B71" s="37">
        <f>U71</f>
        <v/>
      </c>
      <c r="C71" s="52" t="n">
        <v>1450</v>
      </c>
      <c r="D71" s="37">
        <f>C71-B71</f>
        <v/>
      </c>
      <c r="E71" s="37" t="n">
        <v>1150</v>
      </c>
      <c r="F71" s="37" t="n">
        <v>1150</v>
      </c>
      <c r="G71" s="37" t="n">
        <v>1150</v>
      </c>
      <c r="H71" s="37" t="n">
        <v>1150</v>
      </c>
      <c r="I71" s="37" t="n">
        <v>1150</v>
      </c>
      <c r="J71" s="37" t="n">
        <v>1150</v>
      </c>
      <c r="K71" s="37" t="n">
        <v>1150</v>
      </c>
      <c r="L71" s="37" t="n">
        <v>1150</v>
      </c>
      <c r="M71" s="37" t="n">
        <v>1150</v>
      </c>
      <c r="N71" s="37" t="n">
        <v>1300</v>
      </c>
      <c r="O71" s="37" t="n">
        <v>1300</v>
      </c>
      <c r="P71" s="37" t="n">
        <v>1300</v>
      </c>
      <c r="Q71" s="37" t="n">
        <v>1300</v>
      </c>
      <c r="R71" s="37" t="n">
        <v>1300</v>
      </c>
      <c r="S71" s="37" t="n">
        <v>1300</v>
      </c>
      <c r="T71" s="37" t="n">
        <v>1300</v>
      </c>
      <c r="U71" s="37" t="n">
        <v>1300</v>
      </c>
    </row>
    <row r="72">
      <c r="A72" s="11" t="inlineStr">
        <is>
          <t>06-305</t>
        </is>
      </c>
      <c r="B72" s="38">
        <f>U72</f>
        <v/>
      </c>
      <c r="C72" s="51" t="n">
        <v>1450</v>
      </c>
      <c r="D72" s="38">
        <f>C72-B72</f>
        <v/>
      </c>
      <c r="E72" s="38" t="n">
        <v>1250</v>
      </c>
      <c r="F72" s="38" t="n">
        <v>1250</v>
      </c>
      <c r="G72" s="38" t="n">
        <v>1250</v>
      </c>
      <c r="H72" s="38" t="n">
        <v>1250</v>
      </c>
      <c r="I72" s="38" t="n">
        <v>1250</v>
      </c>
      <c r="J72" s="38" t="inlineStr"/>
      <c r="K72" s="38" t="inlineStr"/>
      <c r="L72" s="38" t="n">
        <v>1300</v>
      </c>
      <c r="M72" s="38" t="n">
        <v>1300</v>
      </c>
      <c r="N72" s="38" t="n">
        <v>1300</v>
      </c>
      <c r="O72" s="38" t="n">
        <v>1300</v>
      </c>
      <c r="P72" s="38" t="n">
        <v>1300</v>
      </c>
      <c r="Q72" s="38" t="n">
        <v>1300</v>
      </c>
      <c r="R72" s="38" t="n">
        <v>1300</v>
      </c>
      <c r="S72" s="38" t="n">
        <v>1300</v>
      </c>
      <c r="T72" s="38" t="n">
        <v>1300</v>
      </c>
      <c r="U72" s="38" t="n">
        <v>1300</v>
      </c>
    </row>
    <row r="73">
      <c r="A73" s="8" t="inlineStr">
        <is>
          <t>06-306</t>
        </is>
      </c>
      <c r="B73" s="37">
        <f>U73</f>
        <v/>
      </c>
      <c r="C73" s="52" t="n">
        <v>1450</v>
      </c>
      <c r="D73" s="37">
        <f>C73-B73</f>
        <v/>
      </c>
      <c r="E73" s="37" t="n">
        <v>1050</v>
      </c>
      <c r="F73" s="37" t="n">
        <v>1050</v>
      </c>
      <c r="G73" s="37" t="n">
        <v>1050</v>
      </c>
      <c r="H73" s="37" t="n">
        <v>1050</v>
      </c>
      <c r="I73" s="37" t="n">
        <v>1050</v>
      </c>
      <c r="J73" s="37" t="n">
        <v>1050</v>
      </c>
      <c r="K73" s="37" t="inlineStr"/>
      <c r="L73" s="37" t="inlineStr"/>
      <c r="M73" s="37" t="n">
        <v>1100</v>
      </c>
      <c r="N73" s="37" t="n">
        <v>1100</v>
      </c>
      <c r="O73" s="37" t="n">
        <v>1100</v>
      </c>
      <c r="P73" s="37" t="n">
        <v>1100</v>
      </c>
      <c r="Q73" s="37" t="n">
        <v>1100</v>
      </c>
      <c r="R73" s="37" t="n">
        <v>1100</v>
      </c>
      <c r="S73" s="37" t="n">
        <v>1100</v>
      </c>
      <c r="T73" s="37" t="n">
        <v>1100</v>
      </c>
      <c r="U73" s="37" t="n">
        <v>1100</v>
      </c>
    </row>
    <row r="74">
      <c r="A74" s="11" t="inlineStr">
        <is>
          <t>06-307</t>
        </is>
      </c>
      <c r="B74" s="38">
        <f>U74</f>
        <v/>
      </c>
      <c r="C74" s="51" t="n">
        <v>1450</v>
      </c>
      <c r="D74" s="38">
        <f>C74-B74</f>
        <v/>
      </c>
      <c r="E74" s="38" t="n">
        <v>1325</v>
      </c>
      <c r="F74" s="38" t="n">
        <v>1325</v>
      </c>
      <c r="G74" s="38" t="n">
        <v>1325</v>
      </c>
      <c r="H74" s="38" t="n">
        <v>1325</v>
      </c>
      <c r="I74" s="38" t="n">
        <v>1325</v>
      </c>
      <c r="J74" s="38" t="n">
        <v>1325</v>
      </c>
      <c r="K74" s="38" t="n">
        <v>1325</v>
      </c>
      <c r="L74" s="38" t="n">
        <v>1325</v>
      </c>
      <c r="M74" s="38" t="n">
        <v>1400</v>
      </c>
      <c r="N74" s="38" t="n">
        <v>1400</v>
      </c>
      <c r="O74" s="38" t="n">
        <v>1400</v>
      </c>
      <c r="P74" s="38" t="n">
        <v>1400</v>
      </c>
      <c r="Q74" s="38" t="n">
        <v>1400</v>
      </c>
      <c r="R74" s="38" t="n">
        <v>1400</v>
      </c>
      <c r="S74" s="38" t="inlineStr"/>
      <c r="T74" s="38" t="inlineStr"/>
      <c r="U74" s="38" t="n">
        <v>1500</v>
      </c>
    </row>
    <row r="75">
      <c r="A75" s="8" t="inlineStr">
        <is>
          <t>06-308</t>
        </is>
      </c>
      <c r="B75" s="37">
        <f>U75</f>
        <v/>
      </c>
      <c r="C75" s="52" t="n">
        <v>1450</v>
      </c>
      <c r="D75" s="37">
        <f>C75-B75</f>
        <v/>
      </c>
      <c r="E75" s="37" t="n">
        <v>1200</v>
      </c>
      <c r="F75" s="37" t="n">
        <v>1200</v>
      </c>
      <c r="G75" s="37" t="n">
        <v>1200</v>
      </c>
      <c r="H75" s="37" t="n">
        <v>1200</v>
      </c>
      <c r="I75" s="37" t="n">
        <v>1200</v>
      </c>
      <c r="J75" s="37" t="n">
        <v>1240</v>
      </c>
      <c r="K75" s="37" t="n">
        <v>1240</v>
      </c>
      <c r="L75" s="37" t="n">
        <v>1240</v>
      </c>
      <c r="M75" s="37" t="n">
        <v>1240</v>
      </c>
      <c r="N75" s="37" t="n">
        <v>1240</v>
      </c>
      <c r="O75" s="37" t="n">
        <v>1340</v>
      </c>
      <c r="P75" s="37" t="n">
        <v>1340</v>
      </c>
      <c r="Q75" s="37" t="n">
        <v>1340</v>
      </c>
      <c r="R75" s="37" t="n">
        <v>1340</v>
      </c>
      <c r="S75" s="37" t="n">
        <v>1340</v>
      </c>
      <c r="T75" s="37" t="n">
        <v>1340</v>
      </c>
      <c r="U75" s="37" t="n">
        <v>1340</v>
      </c>
    </row>
    <row r="76">
      <c r="A76" s="11" t="inlineStr">
        <is>
          <t>08-101</t>
        </is>
      </c>
      <c r="B76" s="38">
        <f>U76</f>
        <v/>
      </c>
      <c r="C76" s="51" t="n">
        <v>1450</v>
      </c>
      <c r="D76" s="38">
        <f>C76-B76</f>
        <v/>
      </c>
      <c r="E76" s="38" t="n">
        <v>1450</v>
      </c>
      <c r="F76" s="38" t="n">
        <v>1450</v>
      </c>
      <c r="G76" s="38" t="n">
        <v>1450</v>
      </c>
      <c r="H76" s="38" t="n">
        <v>1450</v>
      </c>
      <c r="I76" s="38" t="n">
        <v>1450</v>
      </c>
      <c r="J76" s="38" t="n">
        <v>1450</v>
      </c>
      <c r="K76" s="38" t="inlineStr"/>
      <c r="L76" s="38" t="n">
        <v>1450</v>
      </c>
      <c r="M76" s="38" t="inlineStr"/>
      <c r="N76" s="38" t="inlineStr"/>
      <c r="O76" s="38" t="n">
        <v>1500</v>
      </c>
      <c r="P76" s="38" t="n">
        <v>1500</v>
      </c>
      <c r="Q76" s="38" t="n">
        <v>1500</v>
      </c>
      <c r="R76" s="38" t="n">
        <v>1500</v>
      </c>
      <c r="S76" s="38" t="n">
        <v>1500</v>
      </c>
      <c r="T76" s="38" t="n">
        <v>1500</v>
      </c>
      <c r="U76" s="38" t="n">
        <v>1500</v>
      </c>
    </row>
    <row r="77">
      <c r="A77" s="8" t="inlineStr">
        <is>
          <t>08-102</t>
        </is>
      </c>
      <c r="B77" s="37">
        <f>U77</f>
        <v/>
      </c>
      <c r="C77" s="52" t="n">
        <v>1450</v>
      </c>
      <c r="D77" s="37">
        <f>C77-B77</f>
        <v/>
      </c>
      <c r="E77" s="37" t="n">
        <v>1225</v>
      </c>
      <c r="F77" s="37" t="n">
        <v>1225</v>
      </c>
      <c r="G77" s="37" t="n">
        <v>1225</v>
      </c>
      <c r="H77" s="37" t="n">
        <v>1225</v>
      </c>
      <c r="I77" s="37" t="n">
        <v>1225</v>
      </c>
      <c r="J77" s="37" t="n">
        <v>1225</v>
      </c>
      <c r="K77" s="37" t="n">
        <v>1225</v>
      </c>
      <c r="L77" s="37" t="n">
        <v>1225</v>
      </c>
      <c r="M77" s="37" t="n">
        <v>1225</v>
      </c>
      <c r="N77" s="37" t="n">
        <v>1300</v>
      </c>
      <c r="O77" s="37" t="n">
        <v>1300</v>
      </c>
      <c r="P77" s="37" t="n">
        <v>1300</v>
      </c>
      <c r="Q77" s="37" t="n">
        <v>1300</v>
      </c>
      <c r="R77" s="37" t="n">
        <v>1300</v>
      </c>
      <c r="S77" s="37" t="n">
        <v>1300</v>
      </c>
      <c r="T77" s="37" t="n">
        <v>1300</v>
      </c>
      <c r="U77" s="37" t="n">
        <v>1300</v>
      </c>
    </row>
    <row r="78">
      <c r="A78" s="11" t="inlineStr">
        <is>
          <t>08-103</t>
        </is>
      </c>
      <c r="B78" s="38">
        <f>U78</f>
        <v/>
      </c>
      <c r="C78" s="51" t="n">
        <v>1450</v>
      </c>
      <c r="D78" s="38">
        <f>C78-B78</f>
        <v/>
      </c>
      <c r="E78" s="38" t="inlineStr"/>
      <c r="F78" s="38" t="n">
        <v>1295</v>
      </c>
      <c r="G78" s="38" t="n">
        <v>1295</v>
      </c>
      <c r="H78" s="38" t="n">
        <v>1295</v>
      </c>
      <c r="I78" s="38" t="n">
        <v>1295</v>
      </c>
      <c r="J78" s="38" t="n">
        <v>1295</v>
      </c>
      <c r="K78" s="38" t="n">
        <v>1295</v>
      </c>
      <c r="L78" s="38" t="n">
        <v>1295</v>
      </c>
      <c r="M78" s="38" t="n">
        <v>1295</v>
      </c>
      <c r="N78" s="38" t="n">
        <v>1295</v>
      </c>
      <c r="O78" s="38" t="n">
        <v>1295</v>
      </c>
      <c r="P78" s="38" t="n">
        <v>1295</v>
      </c>
      <c r="Q78" s="38" t="n">
        <v>1295</v>
      </c>
      <c r="R78" s="38" t="n">
        <v>1295</v>
      </c>
      <c r="S78" s="38" t="n">
        <v>1295</v>
      </c>
      <c r="T78" s="38" t="n">
        <v>1295</v>
      </c>
      <c r="U78" s="38" t="n">
        <v>1295</v>
      </c>
    </row>
    <row r="79">
      <c r="A79" s="8" t="inlineStr">
        <is>
          <t>08-104</t>
        </is>
      </c>
      <c r="B79" s="37">
        <f>U79</f>
        <v/>
      </c>
      <c r="C79" s="52" t="n">
        <v>1450</v>
      </c>
      <c r="D79" s="37">
        <f>C79-B79</f>
        <v/>
      </c>
      <c r="E79" s="37" t="n">
        <v>1090</v>
      </c>
      <c r="F79" s="37" t="n">
        <v>1090</v>
      </c>
      <c r="G79" s="37" t="n">
        <v>1090</v>
      </c>
      <c r="H79" s="37" t="n">
        <v>1090</v>
      </c>
      <c r="I79" s="37" t="n">
        <v>1090</v>
      </c>
      <c r="J79" s="37" t="n">
        <v>1090</v>
      </c>
      <c r="K79" s="37" t="inlineStr"/>
      <c r="L79" s="37" t="n">
        <v>1165</v>
      </c>
      <c r="M79" s="37" t="n">
        <v>1150</v>
      </c>
      <c r="N79" s="37" t="n">
        <v>1150</v>
      </c>
      <c r="O79" s="37" t="n">
        <v>1150</v>
      </c>
      <c r="P79" s="37" t="n">
        <v>1150</v>
      </c>
      <c r="Q79" s="37" t="n">
        <v>1150</v>
      </c>
      <c r="R79" s="37" t="n">
        <v>1150</v>
      </c>
      <c r="S79" s="37" t="n">
        <v>1150</v>
      </c>
      <c r="T79" s="37" t="n">
        <v>1150</v>
      </c>
      <c r="U79" s="37" t="n">
        <v>1150</v>
      </c>
    </row>
    <row r="80">
      <c r="A80" s="11" t="inlineStr">
        <is>
          <t>08-105</t>
        </is>
      </c>
      <c r="B80" s="38">
        <f>U80</f>
        <v/>
      </c>
      <c r="C80" s="51" t="n">
        <v>1450</v>
      </c>
      <c r="D80" s="38">
        <f>C80-B80</f>
        <v/>
      </c>
      <c r="E80" s="38" t="n">
        <v>1125</v>
      </c>
      <c r="F80" s="38" t="n">
        <v>1125</v>
      </c>
      <c r="G80" s="38" t="n">
        <v>1125</v>
      </c>
      <c r="H80" s="38" t="n">
        <v>1125</v>
      </c>
      <c r="I80" s="38" t="n">
        <v>1125</v>
      </c>
      <c r="J80" s="38" t="n">
        <v>1125</v>
      </c>
      <c r="K80" s="38" t="inlineStr"/>
      <c r="L80" s="38" t="n">
        <v>1200</v>
      </c>
      <c r="M80" s="38" t="n">
        <v>1200</v>
      </c>
      <c r="N80" s="38" t="n">
        <v>1200</v>
      </c>
      <c r="O80" s="38" t="n">
        <v>1200</v>
      </c>
      <c r="P80" s="38" t="n">
        <v>1200</v>
      </c>
      <c r="Q80" s="38" t="n">
        <v>1200</v>
      </c>
      <c r="R80" s="38" t="n">
        <v>1200</v>
      </c>
      <c r="S80" s="38" t="n">
        <v>1200</v>
      </c>
      <c r="T80" s="38" t="n">
        <v>1300</v>
      </c>
      <c r="U80" s="38" t="n">
        <v>1300</v>
      </c>
    </row>
    <row r="81">
      <c r="A81" s="8" t="inlineStr">
        <is>
          <t>08-106</t>
        </is>
      </c>
      <c r="B81" s="37">
        <f>U81</f>
        <v/>
      </c>
      <c r="C81" s="52" t="n">
        <v>1450</v>
      </c>
      <c r="D81" s="37">
        <f>C81-B81</f>
        <v/>
      </c>
      <c r="E81" s="37" t="inlineStr"/>
      <c r="F81" s="37" t="inlineStr"/>
      <c r="G81" s="37" t="n">
        <v>1250</v>
      </c>
      <c r="H81" s="37" t="n">
        <v>1250</v>
      </c>
      <c r="I81" s="37" t="n">
        <v>1250</v>
      </c>
      <c r="J81" s="37" t="n">
        <v>1250</v>
      </c>
      <c r="K81" s="37" t="n">
        <v>1250</v>
      </c>
      <c r="L81" s="37" t="n">
        <v>1250</v>
      </c>
      <c r="M81" s="37" t="n">
        <v>1250</v>
      </c>
      <c r="N81" s="37" t="n">
        <v>1250</v>
      </c>
      <c r="O81" s="37" t="n">
        <v>1275</v>
      </c>
      <c r="P81" s="37" t="n">
        <v>1275</v>
      </c>
      <c r="Q81" s="37" t="n">
        <v>1275</v>
      </c>
      <c r="R81" s="37" t="n">
        <v>1275</v>
      </c>
      <c r="S81" s="37" t="n">
        <v>1275</v>
      </c>
      <c r="T81" s="37" t="n">
        <v>1275</v>
      </c>
      <c r="U81" s="37" t="n">
        <v>1275</v>
      </c>
    </row>
    <row r="82">
      <c r="A82" s="11" t="inlineStr">
        <is>
          <t>08-107</t>
        </is>
      </c>
      <c r="B82" s="38">
        <f>U82</f>
        <v/>
      </c>
      <c r="C82" s="51" t="n">
        <v>1450</v>
      </c>
      <c r="D82" s="38">
        <f>C82-B82</f>
        <v/>
      </c>
      <c r="E82" s="38" t="n">
        <v>1165</v>
      </c>
      <c r="F82" s="38" t="n">
        <v>1165</v>
      </c>
      <c r="G82" s="38" t="n">
        <v>1165</v>
      </c>
      <c r="H82" s="38" t="n">
        <v>1165</v>
      </c>
      <c r="I82" s="38" t="n">
        <v>1165</v>
      </c>
      <c r="J82" s="38" t="n">
        <v>1165</v>
      </c>
      <c r="K82" s="38" t="n">
        <v>1165</v>
      </c>
      <c r="L82" s="38" t="n">
        <v>1165</v>
      </c>
      <c r="M82" s="38" t="n">
        <v>1165</v>
      </c>
      <c r="N82" s="38" t="n">
        <v>1250</v>
      </c>
      <c r="O82" s="38" t="n">
        <v>1250</v>
      </c>
      <c r="P82" s="38" t="n">
        <v>1250</v>
      </c>
      <c r="Q82" s="38" t="n">
        <v>1250</v>
      </c>
      <c r="R82" s="38" t="n">
        <v>1250</v>
      </c>
      <c r="S82" s="38" t="n">
        <v>1250</v>
      </c>
      <c r="T82" s="38" t="n">
        <v>1250</v>
      </c>
      <c r="U82" s="38" t="n">
        <v>1250</v>
      </c>
    </row>
    <row r="83">
      <c r="A83" s="8" t="inlineStr">
        <is>
          <t>08-108</t>
        </is>
      </c>
      <c r="B83" s="37">
        <f>U83</f>
        <v/>
      </c>
      <c r="C83" s="52" t="n">
        <v>1450</v>
      </c>
      <c r="D83" s="37">
        <f>C83-B83</f>
        <v/>
      </c>
      <c r="E83" s="37" t="n">
        <v>1350</v>
      </c>
      <c r="F83" s="37" t="n">
        <v>1350</v>
      </c>
      <c r="G83" s="37" t="n">
        <v>1350</v>
      </c>
      <c r="H83" s="37" t="n">
        <v>1350</v>
      </c>
      <c r="I83" s="37" t="n">
        <v>1350</v>
      </c>
      <c r="J83" s="37" t="n">
        <v>1350</v>
      </c>
      <c r="K83" s="37" t="n">
        <v>1350</v>
      </c>
      <c r="L83" s="37" t="n">
        <v>1350</v>
      </c>
      <c r="M83" s="37" t="n">
        <v>1350</v>
      </c>
      <c r="N83" s="37" t="n">
        <v>1400</v>
      </c>
      <c r="O83" s="37" t="n">
        <v>1400</v>
      </c>
      <c r="P83" s="37" t="n">
        <v>1400</v>
      </c>
      <c r="Q83" s="37" t="n">
        <v>1400</v>
      </c>
      <c r="R83" s="37" t="n">
        <v>1400</v>
      </c>
      <c r="S83" s="37" t="n">
        <v>1400</v>
      </c>
      <c r="T83" s="37" t="n">
        <v>1400</v>
      </c>
      <c r="U83" s="37" t="n">
        <v>1400</v>
      </c>
    </row>
    <row r="84">
      <c r="A84" s="11" t="inlineStr">
        <is>
          <t>08-201</t>
        </is>
      </c>
      <c r="B84" s="38">
        <f>U84</f>
        <v/>
      </c>
      <c r="C84" s="51" t="n">
        <v>1450</v>
      </c>
      <c r="D84" s="38">
        <f>C84-B84</f>
        <v/>
      </c>
      <c r="E84" s="38" t="n">
        <v>1450</v>
      </c>
      <c r="F84" s="38" t="n">
        <v>1450</v>
      </c>
      <c r="G84" s="38" t="n">
        <v>1450</v>
      </c>
      <c r="H84" s="38" t="n">
        <v>1450</v>
      </c>
      <c r="I84" s="38" t="n">
        <v>1450</v>
      </c>
      <c r="J84" s="38" t="n">
        <v>1450</v>
      </c>
      <c r="K84" s="38" t="n">
        <v>1450</v>
      </c>
      <c r="L84" s="38" t="n">
        <v>1450</v>
      </c>
      <c r="M84" s="38" t="n">
        <v>1450</v>
      </c>
      <c r="N84" s="38" t="n">
        <v>1450</v>
      </c>
      <c r="O84" s="38" t="n">
        <v>1500</v>
      </c>
      <c r="P84" s="38" t="n">
        <v>1500</v>
      </c>
      <c r="Q84" s="38" t="n">
        <v>1500</v>
      </c>
      <c r="R84" s="38" t="n">
        <v>1500</v>
      </c>
      <c r="S84" s="38" t="n">
        <v>1500</v>
      </c>
      <c r="T84" s="38" t="n">
        <v>1500</v>
      </c>
      <c r="U84" s="38" t="n">
        <v>1500</v>
      </c>
    </row>
    <row r="85">
      <c r="A85" s="8" t="inlineStr">
        <is>
          <t>08-202</t>
        </is>
      </c>
      <c r="B85" s="37">
        <f>U85</f>
        <v/>
      </c>
      <c r="C85" s="52" t="n">
        <v>1450</v>
      </c>
      <c r="D85" s="37">
        <f>C85-B85</f>
        <v/>
      </c>
      <c r="E85" s="37" t="n">
        <v>1450</v>
      </c>
      <c r="F85" s="37" t="n">
        <v>1450</v>
      </c>
      <c r="G85" s="37" t="n">
        <v>1450</v>
      </c>
      <c r="H85" s="37" t="n">
        <v>1450</v>
      </c>
      <c r="I85" s="37" t="n">
        <v>1450</v>
      </c>
      <c r="J85" s="37" t="n">
        <v>1450</v>
      </c>
      <c r="K85" s="37" t="n">
        <v>1450</v>
      </c>
      <c r="L85" s="37" t="n">
        <v>1450</v>
      </c>
      <c r="M85" s="37" t="n">
        <v>1450</v>
      </c>
      <c r="N85" s="37" t="n">
        <v>1450</v>
      </c>
      <c r="O85" s="37" t="n">
        <v>1450</v>
      </c>
      <c r="P85" s="37" t="n">
        <v>1450</v>
      </c>
      <c r="Q85" s="37" t="n">
        <v>1450</v>
      </c>
      <c r="R85" s="37" t="n">
        <v>1450</v>
      </c>
      <c r="S85" s="37" t="n">
        <v>1450</v>
      </c>
      <c r="T85" s="37" t="n">
        <v>1450</v>
      </c>
      <c r="U85" s="37" t="n">
        <v>1450</v>
      </c>
    </row>
    <row r="86">
      <c r="A86" s="11" t="inlineStr">
        <is>
          <t>08-203</t>
        </is>
      </c>
      <c r="B86" s="38">
        <f>U86</f>
        <v/>
      </c>
      <c r="C86" s="51" t="n">
        <v>1450</v>
      </c>
      <c r="D86" s="38">
        <f>C86-B86</f>
        <v/>
      </c>
      <c r="E86" s="38" t="n">
        <v>1020</v>
      </c>
      <c r="F86" s="38" t="n">
        <v>1020</v>
      </c>
      <c r="G86" s="38" t="n">
        <v>1020</v>
      </c>
      <c r="H86" s="38" t="n">
        <v>1020</v>
      </c>
      <c r="I86" s="38" t="n">
        <v>1020</v>
      </c>
      <c r="J86" s="38" t="n">
        <v>1020</v>
      </c>
      <c r="K86" s="38" t="n">
        <v>1020</v>
      </c>
      <c r="L86" s="38" t="n">
        <v>1020</v>
      </c>
      <c r="M86" s="38" t="n">
        <v>1020</v>
      </c>
      <c r="N86" s="38" t="n">
        <v>1020</v>
      </c>
      <c r="O86" s="38" t="n">
        <v>1020</v>
      </c>
      <c r="P86" s="38" t="n">
        <v>1020</v>
      </c>
      <c r="Q86" s="38" t="n">
        <v>1020</v>
      </c>
      <c r="R86" s="38" t="n">
        <v>1020</v>
      </c>
      <c r="S86" s="38" t="n">
        <v>1020</v>
      </c>
      <c r="T86" s="38" t="inlineStr"/>
      <c r="U86" s="38" t="inlineStr"/>
    </row>
    <row r="87">
      <c r="A87" s="8" t="inlineStr">
        <is>
          <t>08-204</t>
        </is>
      </c>
      <c r="B87" s="37">
        <f>U87</f>
        <v/>
      </c>
      <c r="C87" s="52" t="n">
        <v>1450</v>
      </c>
      <c r="D87" s="37">
        <f>C87-B87</f>
        <v/>
      </c>
      <c r="E87" s="37" t="n">
        <v>1275</v>
      </c>
      <c r="F87" s="37" t="n">
        <v>1275</v>
      </c>
      <c r="G87" s="37" t="n">
        <v>1275</v>
      </c>
      <c r="H87" s="37" t="n">
        <v>1275</v>
      </c>
      <c r="I87" s="37" t="n">
        <v>1275</v>
      </c>
      <c r="J87" s="37" t="n">
        <v>1275</v>
      </c>
      <c r="K87" s="37" t="n">
        <v>1275</v>
      </c>
      <c r="L87" s="37" t="n">
        <v>1275</v>
      </c>
      <c r="M87" s="37" t="n">
        <v>1275</v>
      </c>
      <c r="N87" s="37" t="n">
        <v>1275</v>
      </c>
      <c r="O87" s="37" t="n">
        <v>1275</v>
      </c>
      <c r="P87" s="37" t="n">
        <v>1275</v>
      </c>
      <c r="Q87" s="37" t="n">
        <v>1275</v>
      </c>
      <c r="R87" s="37" t="n">
        <v>1275</v>
      </c>
      <c r="S87" s="37" t="n">
        <v>1275</v>
      </c>
      <c r="T87" s="37" t="n">
        <v>1275</v>
      </c>
      <c r="U87" s="37" t="n">
        <v>1275</v>
      </c>
    </row>
    <row r="88">
      <c r="A88" s="11" t="inlineStr">
        <is>
          <t>08-205</t>
        </is>
      </c>
      <c r="B88" s="38">
        <f>U88</f>
        <v/>
      </c>
      <c r="C88" s="51" t="n">
        <v>1450</v>
      </c>
      <c r="D88" s="38">
        <f>C88-B88</f>
        <v/>
      </c>
      <c r="E88" s="38" t="n">
        <v>1150</v>
      </c>
      <c r="F88" s="38" t="n">
        <v>1150</v>
      </c>
      <c r="G88" s="38" t="n">
        <v>1150</v>
      </c>
      <c r="H88" s="38" t="n">
        <v>1150</v>
      </c>
      <c r="I88" s="38" t="n">
        <v>1150</v>
      </c>
      <c r="J88" s="38" t="n">
        <v>1150</v>
      </c>
      <c r="K88" s="38" t="n">
        <v>1150</v>
      </c>
      <c r="L88" s="38" t="n">
        <v>1150</v>
      </c>
      <c r="M88" s="38" t="n">
        <v>1150</v>
      </c>
      <c r="N88" s="38" t="n">
        <v>1150</v>
      </c>
      <c r="O88" s="38" t="n">
        <v>1150</v>
      </c>
      <c r="P88" s="38" t="n">
        <v>1150</v>
      </c>
      <c r="Q88" s="38" t="n">
        <v>1150</v>
      </c>
      <c r="R88" s="38" t="n">
        <v>1150</v>
      </c>
      <c r="S88" s="38" t="n">
        <v>1150</v>
      </c>
      <c r="T88" s="38" t="inlineStr"/>
      <c r="U88" s="38" t="n">
        <v>1225</v>
      </c>
    </row>
    <row r="89">
      <c r="A89" s="8" t="inlineStr">
        <is>
          <t>08-206</t>
        </is>
      </c>
      <c r="B89" s="37">
        <f>U89</f>
        <v/>
      </c>
      <c r="C89" s="52" t="n">
        <v>1450</v>
      </c>
      <c r="D89" s="37">
        <f>C89-B89</f>
        <v/>
      </c>
      <c r="E89" s="37" t="n">
        <v>1125</v>
      </c>
      <c r="F89" s="37" t="n">
        <v>1125</v>
      </c>
      <c r="G89" s="37" t="n">
        <v>1125</v>
      </c>
      <c r="H89" s="37" t="n">
        <v>1125</v>
      </c>
      <c r="I89" s="37" t="n">
        <v>1125</v>
      </c>
      <c r="J89" s="37" t="n">
        <v>1125</v>
      </c>
      <c r="K89" s="37" t="inlineStr"/>
      <c r="L89" s="37" t="n">
        <v>1125</v>
      </c>
      <c r="M89" s="37" t="inlineStr"/>
      <c r="N89" s="37" t="inlineStr"/>
      <c r="O89" s="37" t="n">
        <v>1165</v>
      </c>
      <c r="P89" s="37" t="n">
        <v>1165</v>
      </c>
      <c r="Q89" s="37" t="n">
        <v>1165</v>
      </c>
      <c r="R89" s="37" t="n">
        <v>1165</v>
      </c>
      <c r="S89" s="37" t="n">
        <v>1165</v>
      </c>
      <c r="T89" s="37" t="n">
        <v>1165</v>
      </c>
      <c r="U89" s="37" t="n">
        <v>1165</v>
      </c>
    </row>
    <row r="90">
      <c r="A90" s="11" t="inlineStr">
        <is>
          <t>08-207</t>
        </is>
      </c>
      <c r="B90" s="38">
        <f>U90</f>
        <v/>
      </c>
      <c r="C90" s="51" t="n">
        <v>1450</v>
      </c>
      <c r="D90" s="38">
        <f>C90-B90</f>
        <v/>
      </c>
      <c r="E90" s="38" t="n">
        <v>1450</v>
      </c>
      <c r="F90" s="38" t="n">
        <v>1450</v>
      </c>
      <c r="G90" s="38" t="n">
        <v>1450</v>
      </c>
      <c r="H90" s="38" t="n">
        <v>1450</v>
      </c>
      <c r="I90" s="38" t="n">
        <v>1450</v>
      </c>
      <c r="J90" s="38" t="n">
        <v>1450</v>
      </c>
      <c r="K90" s="38" t="n">
        <v>1450</v>
      </c>
      <c r="L90" s="38" t="n">
        <v>1450</v>
      </c>
      <c r="M90" s="38" t="n">
        <v>1450</v>
      </c>
      <c r="N90" s="38" t="n">
        <v>1450</v>
      </c>
      <c r="O90" s="38" t="n">
        <v>1500</v>
      </c>
      <c r="P90" s="38" t="n">
        <v>1500</v>
      </c>
      <c r="Q90" s="38" t="n">
        <v>1500</v>
      </c>
      <c r="R90" s="38" t="n">
        <v>1500</v>
      </c>
      <c r="S90" s="38" t="inlineStr"/>
      <c r="T90" s="38" t="n">
        <v>1450</v>
      </c>
      <c r="U90" s="38" t="n">
        <v>1450</v>
      </c>
    </row>
    <row r="91">
      <c r="A91" s="8" t="inlineStr">
        <is>
          <t>08-208</t>
        </is>
      </c>
      <c r="B91" s="37">
        <f>U91</f>
        <v/>
      </c>
      <c r="C91" s="52" t="n">
        <v>1450</v>
      </c>
      <c r="D91" s="37">
        <f>C91-B91</f>
        <v/>
      </c>
      <c r="E91" s="37" t="n">
        <v>1425</v>
      </c>
      <c r="F91" s="37" t="n">
        <v>1425</v>
      </c>
      <c r="G91" s="37" t="n">
        <v>1425</v>
      </c>
      <c r="H91" s="37" t="n">
        <v>1425</v>
      </c>
      <c r="I91" s="37" t="n">
        <v>1425</v>
      </c>
      <c r="J91" s="37" t="n">
        <v>1425</v>
      </c>
      <c r="K91" s="37" t="n">
        <v>1425</v>
      </c>
      <c r="L91" s="37" t="n">
        <v>1425</v>
      </c>
      <c r="M91" s="37" t="n">
        <v>1425</v>
      </c>
      <c r="N91" s="37" t="n">
        <v>1450</v>
      </c>
      <c r="O91" s="37" t="n">
        <v>1450</v>
      </c>
      <c r="P91" s="37" t="n">
        <v>1450</v>
      </c>
      <c r="Q91" s="37" t="n">
        <v>1450</v>
      </c>
      <c r="R91" s="37" t="n">
        <v>1450</v>
      </c>
      <c r="S91" s="37" t="n">
        <v>1450</v>
      </c>
      <c r="T91" s="37" t="n">
        <v>1450</v>
      </c>
      <c r="U91" s="37" t="n">
        <v>1450</v>
      </c>
    </row>
    <row r="92">
      <c r="A92" s="11" t="inlineStr">
        <is>
          <t>08-301</t>
        </is>
      </c>
      <c r="B92" s="38">
        <f>U92</f>
        <v/>
      </c>
      <c r="C92" s="51" t="n">
        <v>1450</v>
      </c>
      <c r="D92" s="38">
        <f>C92-B92</f>
        <v/>
      </c>
      <c r="E92" s="38" t="n">
        <v>1400</v>
      </c>
      <c r="F92" s="38" t="n">
        <v>1400</v>
      </c>
      <c r="G92" s="38" t="n">
        <v>1400</v>
      </c>
      <c r="H92" s="38" t="n">
        <v>1400</v>
      </c>
      <c r="I92" s="38" t="n">
        <v>1400</v>
      </c>
      <c r="J92" s="38" t="n">
        <v>1400</v>
      </c>
      <c r="K92" s="38" t="n">
        <v>1400</v>
      </c>
      <c r="L92" s="38" t="n">
        <v>1400</v>
      </c>
      <c r="M92" s="38" t="n">
        <v>1400</v>
      </c>
      <c r="N92" s="38" t="n">
        <v>1400</v>
      </c>
      <c r="O92" s="38" t="n">
        <v>1400</v>
      </c>
      <c r="P92" s="38" t="n">
        <v>1400</v>
      </c>
      <c r="Q92" s="38" t="n">
        <v>1400</v>
      </c>
      <c r="R92" s="38" t="n">
        <v>1400</v>
      </c>
      <c r="S92" s="38" t="n">
        <v>1400</v>
      </c>
      <c r="T92" s="38" t="n">
        <v>1400</v>
      </c>
      <c r="U92" s="38" t="n">
        <v>1400</v>
      </c>
    </row>
    <row r="93">
      <c r="A93" s="8" t="inlineStr">
        <is>
          <t>08-302</t>
        </is>
      </c>
      <c r="B93" s="37">
        <f>U93</f>
        <v/>
      </c>
      <c r="C93" s="52" t="n">
        <v>1450</v>
      </c>
      <c r="D93" s="37">
        <f>C93-B93</f>
        <v/>
      </c>
      <c r="E93" s="37" t="n">
        <v>1250</v>
      </c>
      <c r="F93" s="37" t="n">
        <v>1250</v>
      </c>
      <c r="G93" s="37" t="n">
        <v>1250</v>
      </c>
      <c r="H93" s="37" t="n">
        <v>1250</v>
      </c>
      <c r="I93" s="37" t="n">
        <v>1250</v>
      </c>
      <c r="J93" s="37" t="n">
        <v>1250</v>
      </c>
      <c r="K93" s="37" t="n">
        <v>1250</v>
      </c>
      <c r="L93" s="37" t="n">
        <v>1250</v>
      </c>
      <c r="M93" s="37" t="n">
        <v>1250</v>
      </c>
      <c r="N93" s="37" t="n">
        <v>1300</v>
      </c>
      <c r="O93" s="37" t="n">
        <v>1300</v>
      </c>
      <c r="P93" s="37" t="n">
        <v>1300</v>
      </c>
      <c r="Q93" s="37" t="n">
        <v>1300</v>
      </c>
      <c r="R93" s="37" t="n">
        <v>1300</v>
      </c>
      <c r="S93" s="37" t="n">
        <v>1300</v>
      </c>
      <c r="T93" s="37" t="n">
        <v>1300</v>
      </c>
      <c r="U93" s="37" t="n">
        <v>1300</v>
      </c>
    </row>
    <row r="94">
      <c r="A94" s="11" t="inlineStr">
        <is>
          <t>08-303</t>
        </is>
      </c>
      <c r="B94" s="38">
        <f>U94</f>
        <v/>
      </c>
      <c r="C94" s="51" t="n">
        <v>1450</v>
      </c>
      <c r="D94" s="38">
        <f>C94-B94</f>
        <v/>
      </c>
      <c r="E94" s="38" t="n">
        <v>1045</v>
      </c>
      <c r="F94" s="38" t="n">
        <v>1045</v>
      </c>
      <c r="G94" s="38" t="n">
        <v>1045</v>
      </c>
      <c r="H94" s="38" t="n">
        <v>1045</v>
      </c>
      <c r="I94" s="38" t="n">
        <v>1045</v>
      </c>
      <c r="J94" s="38" t="n">
        <v>1045</v>
      </c>
      <c r="K94" s="38" t="n">
        <v>1045</v>
      </c>
      <c r="L94" s="38" t="n">
        <v>1045</v>
      </c>
      <c r="M94" s="38" t="n">
        <v>1045</v>
      </c>
      <c r="N94" s="38" t="n">
        <v>1095</v>
      </c>
      <c r="O94" s="38" t="n">
        <v>1095</v>
      </c>
      <c r="P94" s="38" t="n">
        <v>1095</v>
      </c>
      <c r="Q94" s="38" t="n">
        <v>1095</v>
      </c>
      <c r="R94" s="38" t="n">
        <v>1095</v>
      </c>
      <c r="S94" s="38" t="n">
        <v>1095</v>
      </c>
      <c r="T94" s="38" t="n">
        <v>1095</v>
      </c>
      <c r="U94" s="38" t="n">
        <v>1095</v>
      </c>
    </row>
    <row r="95">
      <c r="A95" s="8" t="inlineStr">
        <is>
          <t>08-304</t>
        </is>
      </c>
      <c r="B95" s="37">
        <f>U95</f>
        <v/>
      </c>
      <c r="C95" s="52" t="n">
        <v>1450</v>
      </c>
      <c r="D95" s="37">
        <f>C95-B95</f>
        <v/>
      </c>
      <c r="E95" s="37" t="n">
        <v>1175</v>
      </c>
      <c r="F95" s="37" t="n">
        <v>1175</v>
      </c>
      <c r="G95" s="37" t="n">
        <v>1175</v>
      </c>
      <c r="H95" s="37" t="n">
        <v>1175</v>
      </c>
      <c r="I95" s="37" t="n">
        <v>1175</v>
      </c>
      <c r="J95" s="37" t="n">
        <v>1175</v>
      </c>
      <c r="K95" s="37" t="inlineStr"/>
      <c r="L95" s="37" t="inlineStr"/>
      <c r="M95" s="37" t="n">
        <v>1300</v>
      </c>
      <c r="N95" s="37" t="n">
        <v>1300</v>
      </c>
      <c r="O95" s="37" t="n">
        <v>1300</v>
      </c>
      <c r="P95" s="37" t="n">
        <v>1300</v>
      </c>
      <c r="Q95" s="37" t="n">
        <v>1300</v>
      </c>
      <c r="R95" s="37" t="n">
        <v>1300</v>
      </c>
      <c r="S95" s="37" t="n">
        <v>1300</v>
      </c>
      <c r="T95" s="37" t="n">
        <v>1300</v>
      </c>
      <c r="U95" s="37" t="n">
        <v>1300</v>
      </c>
    </row>
    <row r="96">
      <c r="A96" s="11" t="inlineStr">
        <is>
          <t>08-305</t>
        </is>
      </c>
      <c r="B96" s="38">
        <f>U96</f>
        <v/>
      </c>
      <c r="C96" s="51" t="n">
        <v>1450</v>
      </c>
      <c r="D96" s="38">
        <f>C96-B96</f>
        <v/>
      </c>
      <c r="E96" s="38" t="n">
        <v>1150</v>
      </c>
      <c r="F96" s="38" t="n">
        <v>1150</v>
      </c>
      <c r="G96" s="38" t="n">
        <v>1150</v>
      </c>
      <c r="H96" s="38" t="n">
        <v>1150</v>
      </c>
      <c r="I96" s="38" t="n">
        <v>1150</v>
      </c>
      <c r="J96" s="38" t="n">
        <v>1150</v>
      </c>
      <c r="K96" s="38" t="n">
        <v>1150</v>
      </c>
      <c r="L96" s="38" t="n">
        <v>1150</v>
      </c>
      <c r="M96" s="38" t="n">
        <v>1150</v>
      </c>
      <c r="N96" s="38" t="n">
        <v>1200</v>
      </c>
      <c r="O96" s="38" t="n">
        <v>1200</v>
      </c>
      <c r="P96" s="38" t="n">
        <v>1200</v>
      </c>
      <c r="Q96" s="38" t="n">
        <v>1200</v>
      </c>
      <c r="R96" s="38" t="n">
        <v>1200</v>
      </c>
      <c r="S96" s="38" t="n">
        <v>1200</v>
      </c>
      <c r="T96" s="38" t="n">
        <v>1200</v>
      </c>
      <c r="U96" s="38" t="n">
        <v>1200</v>
      </c>
    </row>
    <row r="97">
      <c r="A97" s="8" t="inlineStr">
        <is>
          <t>08-306</t>
        </is>
      </c>
      <c r="B97" s="37">
        <f>U97</f>
        <v/>
      </c>
      <c r="C97" s="52" t="n">
        <v>1450</v>
      </c>
      <c r="D97" s="37">
        <f>C97-B97</f>
        <v/>
      </c>
      <c r="E97" s="37" t="n">
        <v>1075</v>
      </c>
      <c r="F97" s="37" t="n">
        <v>1075</v>
      </c>
      <c r="G97" s="37" t="n">
        <v>1075</v>
      </c>
      <c r="H97" s="37" t="n">
        <v>1075</v>
      </c>
      <c r="I97" s="37" t="n">
        <v>1075</v>
      </c>
      <c r="J97" s="37" t="n">
        <v>1075</v>
      </c>
      <c r="K97" s="37" t="n">
        <v>1075</v>
      </c>
      <c r="L97" s="37" t="n">
        <v>1075</v>
      </c>
      <c r="M97" s="37" t="n">
        <v>1075</v>
      </c>
      <c r="N97" s="37" t="n">
        <v>1075</v>
      </c>
      <c r="O97" s="37" t="n">
        <v>1125</v>
      </c>
      <c r="P97" s="37" t="n">
        <v>1125</v>
      </c>
      <c r="Q97" s="37" t="n">
        <v>1125</v>
      </c>
      <c r="R97" s="37" t="n">
        <v>1125</v>
      </c>
      <c r="S97" s="37" t="n">
        <v>1125</v>
      </c>
      <c r="T97" s="37" t="n">
        <v>1125</v>
      </c>
      <c r="U97" s="37" t="n">
        <v>1125</v>
      </c>
    </row>
    <row r="98">
      <c r="A98" s="11" t="inlineStr">
        <is>
          <t>08-307</t>
        </is>
      </c>
      <c r="B98" s="38">
        <f>U98</f>
        <v/>
      </c>
      <c r="C98" s="51" t="n">
        <v>1450</v>
      </c>
      <c r="D98" s="38">
        <f>C98-B98</f>
        <v/>
      </c>
      <c r="E98" s="38" t="n">
        <v>1140</v>
      </c>
      <c r="F98" s="38" t="n">
        <v>1140</v>
      </c>
      <c r="G98" s="38" t="n">
        <v>1140</v>
      </c>
      <c r="H98" s="38" t="n">
        <v>1140</v>
      </c>
      <c r="I98" s="38" t="n">
        <v>1140</v>
      </c>
      <c r="J98" s="38" t="n">
        <v>1140</v>
      </c>
      <c r="K98" s="38" t="n">
        <v>1140</v>
      </c>
      <c r="L98" s="38" t="n">
        <v>1140</v>
      </c>
      <c r="M98" s="38" t="n">
        <v>1140</v>
      </c>
      <c r="N98" s="38" t="n">
        <v>1200</v>
      </c>
      <c r="O98" s="38" t="n">
        <v>1200</v>
      </c>
      <c r="P98" s="38" t="n">
        <v>1200</v>
      </c>
      <c r="Q98" s="38" t="n">
        <v>1200</v>
      </c>
      <c r="R98" s="38" t="n">
        <v>1200</v>
      </c>
      <c r="S98" s="38" t="n">
        <v>1200</v>
      </c>
      <c r="T98" s="38" t="n">
        <v>1200</v>
      </c>
      <c r="U98" s="38" t="n">
        <v>1200</v>
      </c>
    </row>
    <row r="99">
      <c r="A99" s="8" t="inlineStr">
        <is>
          <t>08-308</t>
        </is>
      </c>
      <c r="B99" s="37">
        <f>U99</f>
        <v/>
      </c>
      <c r="C99" s="52" t="n">
        <v>1450</v>
      </c>
      <c r="D99" s="37">
        <f>C99-B99</f>
        <v/>
      </c>
      <c r="E99" s="37" t="n">
        <v>1475</v>
      </c>
      <c r="F99" s="37" t="n">
        <v>1475</v>
      </c>
      <c r="G99" s="37" t="n">
        <v>1475</v>
      </c>
      <c r="H99" s="37" t="n">
        <v>1475</v>
      </c>
      <c r="I99" s="37" t="n">
        <v>1475</v>
      </c>
      <c r="J99" s="37" t="n">
        <v>1475</v>
      </c>
      <c r="K99" s="37" t="inlineStr"/>
      <c r="L99" s="37" t="n">
        <v>1475</v>
      </c>
      <c r="M99" s="37" t="inlineStr"/>
      <c r="N99" s="37" t="inlineStr"/>
      <c r="O99" s="37" t="n">
        <v>1500</v>
      </c>
      <c r="P99" s="37" t="n">
        <v>1500</v>
      </c>
      <c r="Q99" s="37" t="n">
        <v>1500</v>
      </c>
      <c r="R99" s="37" t="n">
        <v>1500</v>
      </c>
      <c r="S99" s="37" t="n">
        <v>1500</v>
      </c>
      <c r="T99" s="37" t="n">
        <v>1500</v>
      </c>
      <c r="U99" s="37" t="n">
        <v>1500</v>
      </c>
    </row>
    <row r="100">
      <c r="A100" s="11" t="inlineStr">
        <is>
          <t>10-101</t>
        </is>
      </c>
      <c r="B100" s="38">
        <f>U100</f>
        <v/>
      </c>
      <c r="C100" s="51" t="n">
        <v>1450</v>
      </c>
      <c r="D100" s="38">
        <f>C100-B100</f>
        <v/>
      </c>
      <c r="E100" s="38" t="n">
        <v>1250</v>
      </c>
      <c r="F100" s="38" t="n">
        <v>1250</v>
      </c>
      <c r="G100" s="38" t="n">
        <v>1250</v>
      </c>
      <c r="H100" s="38" t="n">
        <v>1250</v>
      </c>
      <c r="I100" s="38" t="n">
        <v>1250</v>
      </c>
      <c r="J100" s="38" t="n">
        <v>1250</v>
      </c>
      <c r="K100" s="38" t="n">
        <v>1250</v>
      </c>
      <c r="L100" s="38" t="n">
        <v>1250</v>
      </c>
      <c r="M100" s="38" t="n">
        <v>1325</v>
      </c>
      <c r="N100" s="38" t="n">
        <v>1325</v>
      </c>
      <c r="O100" s="38" t="n">
        <v>1325</v>
      </c>
      <c r="P100" s="38" t="n">
        <v>1325</v>
      </c>
      <c r="Q100" s="38" t="n">
        <v>1325</v>
      </c>
      <c r="R100" s="38" t="n">
        <v>1325</v>
      </c>
      <c r="S100" s="38" t="n">
        <v>1325</v>
      </c>
      <c r="T100" s="38" t="n">
        <v>1325</v>
      </c>
      <c r="U100" s="38" t="n">
        <v>1325</v>
      </c>
    </row>
    <row r="101">
      <c r="A101" s="8" t="inlineStr">
        <is>
          <t>10-102</t>
        </is>
      </c>
      <c r="B101" s="37">
        <f>U101</f>
        <v/>
      </c>
      <c r="C101" s="52" t="n">
        <v>1450</v>
      </c>
      <c r="D101" s="37">
        <f>C101-B101</f>
        <v/>
      </c>
      <c r="E101" s="37" t="n">
        <v>1125</v>
      </c>
      <c r="F101" s="37" t="n">
        <v>1125</v>
      </c>
      <c r="G101" s="37" t="n">
        <v>1125</v>
      </c>
      <c r="H101" s="37" t="n">
        <v>1125</v>
      </c>
      <c r="I101" s="37" t="n">
        <v>1125</v>
      </c>
      <c r="J101" s="37" t="n">
        <v>1125</v>
      </c>
      <c r="K101" s="37" t="n">
        <v>1125</v>
      </c>
      <c r="L101" s="37" t="n">
        <v>1125</v>
      </c>
      <c r="M101" s="37" t="n">
        <v>1125</v>
      </c>
      <c r="N101" s="37" t="n">
        <v>1125</v>
      </c>
      <c r="O101" s="37" t="n">
        <v>1200</v>
      </c>
      <c r="P101" s="37" t="n">
        <v>1200</v>
      </c>
      <c r="Q101" s="37" t="n">
        <v>1200</v>
      </c>
      <c r="R101" s="37" t="n">
        <v>1200</v>
      </c>
      <c r="S101" s="37" t="n">
        <v>1200</v>
      </c>
      <c r="T101" s="37" t="n">
        <v>1200</v>
      </c>
      <c r="U101" s="37" t="n">
        <v>1200</v>
      </c>
    </row>
    <row r="102">
      <c r="A102" s="11" t="inlineStr">
        <is>
          <t>10-103</t>
        </is>
      </c>
      <c r="B102" s="38">
        <f>U102</f>
        <v/>
      </c>
      <c r="C102" s="51" t="n">
        <v>1450</v>
      </c>
      <c r="D102" s="38">
        <f>C102-B102</f>
        <v/>
      </c>
      <c r="E102" s="38" t="n">
        <v>1295</v>
      </c>
      <c r="F102" s="38" t="n">
        <v>1295</v>
      </c>
      <c r="G102" s="38" t="n">
        <v>1295</v>
      </c>
      <c r="H102" s="38" t="n">
        <v>1295</v>
      </c>
      <c r="I102" s="38" t="n">
        <v>1295</v>
      </c>
      <c r="J102" s="38" t="n">
        <v>1295</v>
      </c>
      <c r="K102" s="38" t="n">
        <v>1295</v>
      </c>
      <c r="L102" s="38" t="n">
        <v>1300</v>
      </c>
      <c r="M102" s="38" t="n">
        <v>1300</v>
      </c>
      <c r="N102" s="38" t="n">
        <v>1300</v>
      </c>
      <c r="O102" s="38" t="n">
        <v>1300</v>
      </c>
      <c r="P102" s="38" t="n">
        <v>1300</v>
      </c>
      <c r="Q102" s="38" t="n">
        <v>1300</v>
      </c>
      <c r="R102" s="38" t="n">
        <v>1300</v>
      </c>
      <c r="S102" s="38" t="n">
        <v>1300</v>
      </c>
      <c r="T102" s="38" t="n">
        <v>1300</v>
      </c>
      <c r="U102" s="38" t="n">
        <v>1300</v>
      </c>
    </row>
    <row r="103">
      <c r="A103" s="8" t="inlineStr">
        <is>
          <t>10-104</t>
        </is>
      </c>
      <c r="B103" s="37">
        <f>U103</f>
        <v/>
      </c>
      <c r="C103" s="52" t="n">
        <v>1450</v>
      </c>
      <c r="D103" s="37">
        <f>C103-B103</f>
        <v/>
      </c>
      <c r="E103" s="37" t="n">
        <v>1055</v>
      </c>
      <c r="F103" s="37" t="n">
        <v>1055</v>
      </c>
      <c r="G103" s="37" t="n">
        <v>1055</v>
      </c>
      <c r="H103" s="37" t="n">
        <v>1055</v>
      </c>
      <c r="I103" s="37" t="n">
        <v>1055</v>
      </c>
      <c r="J103" s="37" t="n">
        <v>1055</v>
      </c>
      <c r="K103" s="37" t="n">
        <v>1055</v>
      </c>
      <c r="L103" s="37" t="n">
        <v>1055</v>
      </c>
      <c r="M103" s="37" t="inlineStr"/>
      <c r="N103" s="37" t="inlineStr"/>
      <c r="O103" s="37" t="n">
        <v>1105</v>
      </c>
      <c r="P103" s="37" t="n">
        <v>1105</v>
      </c>
      <c r="Q103" s="37" t="n">
        <v>1105</v>
      </c>
      <c r="R103" s="37" t="n">
        <v>1105</v>
      </c>
      <c r="S103" s="37" t="n">
        <v>1105</v>
      </c>
      <c r="T103" s="37" t="n">
        <v>1105</v>
      </c>
      <c r="U103" s="37" t="n">
        <v>1105</v>
      </c>
    </row>
    <row r="104">
      <c r="A104" s="11" t="inlineStr">
        <is>
          <t>10-105</t>
        </is>
      </c>
      <c r="B104" s="38">
        <f>U104</f>
        <v/>
      </c>
      <c r="C104" s="51" t="n">
        <v>1450</v>
      </c>
      <c r="D104" s="38">
        <f>C104-B104</f>
        <v/>
      </c>
      <c r="E104" s="38" t="n">
        <v>1200</v>
      </c>
      <c r="F104" s="38" t="n">
        <v>1200</v>
      </c>
      <c r="G104" s="38" t="n">
        <v>1200</v>
      </c>
      <c r="H104" s="38" t="n">
        <v>1200</v>
      </c>
      <c r="I104" s="38" t="n">
        <v>1200</v>
      </c>
      <c r="J104" s="38" t="n">
        <v>1200</v>
      </c>
      <c r="K104" s="38" t="n">
        <v>1200</v>
      </c>
      <c r="L104" s="38" t="n">
        <v>1200</v>
      </c>
      <c r="M104" s="38" t="n">
        <v>1250</v>
      </c>
      <c r="N104" s="38" t="n">
        <v>1250</v>
      </c>
      <c r="O104" s="38" t="n">
        <v>1250</v>
      </c>
      <c r="P104" s="38" t="n">
        <v>1250</v>
      </c>
      <c r="Q104" s="38" t="n">
        <v>1250</v>
      </c>
      <c r="R104" s="38" t="n">
        <v>1250</v>
      </c>
      <c r="S104" s="38" t="n">
        <v>1250</v>
      </c>
      <c r="T104" s="38" t="n">
        <v>1250</v>
      </c>
      <c r="U104" s="38" t="n">
        <v>1250</v>
      </c>
    </row>
    <row r="105">
      <c r="A105" s="8" t="inlineStr">
        <is>
          <t>10-106</t>
        </is>
      </c>
      <c r="B105" s="37">
        <f>U105</f>
        <v/>
      </c>
      <c r="C105" s="52" t="n">
        <v>1450</v>
      </c>
      <c r="D105" s="37">
        <f>C105-B105</f>
        <v/>
      </c>
      <c r="E105" s="37" t="n">
        <v>1200</v>
      </c>
      <c r="F105" s="37" t="n">
        <v>1200</v>
      </c>
      <c r="G105" s="37" t="n">
        <v>1200</v>
      </c>
      <c r="H105" s="37" t="n">
        <v>1200</v>
      </c>
      <c r="I105" s="37" t="n">
        <v>1200</v>
      </c>
      <c r="J105" s="37" t="n">
        <v>1200</v>
      </c>
      <c r="K105" s="37" t="n">
        <v>1200</v>
      </c>
      <c r="L105" s="37" t="n">
        <v>1200</v>
      </c>
      <c r="M105" s="37" t="n">
        <v>1225</v>
      </c>
      <c r="N105" s="37" t="n">
        <v>1225</v>
      </c>
      <c r="O105" s="37" t="n">
        <v>1225</v>
      </c>
      <c r="P105" s="37" t="n">
        <v>1225</v>
      </c>
      <c r="Q105" s="37" t="n">
        <v>1225</v>
      </c>
      <c r="R105" s="37" t="n">
        <v>1225</v>
      </c>
      <c r="S105" s="37" t="n">
        <v>1225</v>
      </c>
      <c r="T105" s="37" t="n">
        <v>1225</v>
      </c>
      <c r="U105" s="37" t="n">
        <v>1225</v>
      </c>
    </row>
    <row r="106">
      <c r="A106" s="11" t="inlineStr">
        <is>
          <t>10-107</t>
        </is>
      </c>
      <c r="B106" s="38">
        <f>U106</f>
        <v/>
      </c>
      <c r="C106" s="51" t="n">
        <v>1450</v>
      </c>
      <c r="D106" s="38">
        <f>C106-B106</f>
        <v/>
      </c>
      <c r="E106" s="38" t="n">
        <v>1350</v>
      </c>
      <c r="F106" s="38" t="n">
        <v>1350</v>
      </c>
      <c r="G106" s="38" t="n">
        <v>1350</v>
      </c>
      <c r="H106" s="38" t="n">
        <v>1350</v>
      </c>
      <c r="I106" s="38" t="n">
        <v>1350</v>
      </c>
      <c r="J106" s="38" t="n">
        <v>1350</v>
      </c>
      <c r="K106" s="38" t="n">
        <v>1350</v>
      </c>
      <c r="L106" s="38" t="n">
        <v>1350</v>
      </c>
      <c r="M106" s="38" t="n">
        <v>1350</v>
      </c>
      <c r="N106" s="38" t="n">
        <v>1400</v>
      </c>
      <c r="O106" s="38" t="n">
        <v>1400</v>
      </c>
      <c r="P106" s="38" t="n">
        <v>1400</v>
      </c>
      <c r="Q106" s="38" t="n">
        <v>1400</v>
      </c>
      <c r="R106" s="38" t="n">
        <v>1400</v>
      </c>
      <c r="S106" s="38" t="n">
        <v>1400</v>
      </c>
      <c r="T106" s="38" t="n">
        <v>1400</v>
      </c>
      <c r="U106" s="38" t="n">
        <v>1400</v>
      </c>
    </row>
    <row r="107">
      <c r="A107" s="8" t="inlineStr">
        <is>
          <t>10-108</t>
        </is>
      </c>
      <c r="B107" s="37">
        <f>U107</f>
        <v/>
      </c>
      <c r="C107" s="52" t="n">
        <v>1450</v>
      </c>
      <c r="D107" s="37">
        <f>C107-B107</f>
        <v/>
      </c>
      <c r="E107" s="37" t="n">
        <v>1225</v>
      </c>
      <c r="F107" s="37" t="n">
        <v>1225</v>
      </c>
      <c r="G107" s="37" t="n">
        <v>1225</v>
      </c>
      <c r="H107" s="37" t="n">
        <v>1225</v>
      </c>
      <c r="I107" s="37" t="n">
        <v>1225</v>
      </c>
      <c r="J107" s="37" t="n">
        <v>1225</v>
      </c>
      <c r="K107" s="37" t="n">
        <v>1225</v>
      </c>
      <c r="L107" s="37" t="n">
        <v>1225</v>
      </c>
      <c r="M107" s="37" t="n">
        <v>1225</v>
      </c>
      <c r="N107" s="37" t="n">
        <v>1225</v>
      </c>
      <c r="O107" s="37" t="n">
        <v>1225</v>
      </c>
      <c r="P107" s="37" t="n">
        <v>1225</v>
      </c>
      <c r="Q107" s="37" t="n">
        <v>1225</v>
      </c>
      <c r="R107" s="37" t="n">
        <v>1225</v>
      </c>
      <c r="S107" s="37" t="n">
        <v>1225</v>
      </c>
      <c r="T107" s="37" t="n">
        <v>1225</v>
      </c>
      <c r="U107" s="37" t="n">
        <v>1225</v>
      </c>
    </row>
    <row r="108">
      <c r="A108" s="11" t="inlineStr">
        <is>
          <t>10-201</t>
        </is>
      </c>
      <c r="B108" s="38">
        <f>U108</f>
        <v/>
      </c>
      <c r="C108" s="51" t="n">
        <v>1450</v>
      </c>
      <c r="D108" s="38">
        <f>C108-B108</f>
        <v/>
      </c>
      <c r="E108" s="38" t="n">
        <v>1465</v>
      </c>
      <c r="F108" s="38" t="n">
        <v>1465</v>
      </c>
      <c r="G108" s="38" t="n">
        <v>1465</v>
      </c>
      <c r="H108" s="38" t="n">
        <v>1465</v>
      </c>
      <c r="I108" s="38" t="n">
        <v>1465</v>
      </c>
      <c r="J108" s="38" t="n">
        <v>1465</v>
      </c>
      <c r="K108" s="38" t="n">
        <v>1465</v>
      </c>
      <c r="L108" s="38" t="n">
        <v>1465</v>
      </c>
      <c r="M108" s="38" t="n">
        <v>1465</v>
      </c>
      <c r="N108" s="38" t="n">
        <v>1465</v>
      </c>
      <c r="O108" s="38" t="n">
        <v>1465</v>
      </c>
      <c r="P108" s="38" t="n">
        <v>1490</v>
      </c>
      <c r="Q108" s="38" t="n">
        <v>1490</v>
      </c>
      <c r="R108" s="38" t="n">
        <v>1490</v>
      </c>
      <c r="S108" s="38" t="n">
        <v>1490</v>
      </c>
      <c r="T108" s="38" t="n">
        <v>1490</v>
      </c>
      <c r="U108" s="38" t="n">
        <v>1490</v>
      </c>
    </row>
    <row r="109">
      <c r="A109" s="8" t="inlineStr">
        <is>
          <t>10-202</t>
        </is>
      </c>
      <c r="B109" s="37">
        <f>U109</f>
        <v/>
      </c>
      <c r="C109" s="52" t="n">
        <v>1450</v>
      </c>
      <c r="D109" s="37">
        <f>C109-B109</f>
        <v/>
      </c>
      <c r="E109" s="37" t="n">
        <v>1375</v>
      </c>
      <c r="F109" s="37" t="n">
        <v>1375</v>
      </c>
      <c r="G109" s="37" t="n">
        <v>1375</v>
      </c>
      <c r="H109" s="37" t="n">
        <v>1375</v>
      </c>
      <c r="I109" s="37" t="n">
        <v>1375</v>
      </c>
      <c r="J109" s="37" t="n">
        <v>1375</v>
      </c>
      <c r="K109" s="37" t="n">
        <v>1375</v>
      </c>
      <c r="L109" s="37" t="n">
        <v>1375</v>
      </c>
      <c r="M109" s="37" t="n">
        <v>1425</v>
      </c>
      <c r="N109" s="37" t="n">
        <v>1425</v>
      </c>
      <c r="O109" s="37" t="n">
        <v>1425</v>
      </c>
      <c r="P109" s="37" t="n">
        <v>1425</v>
      </c>
      <c r="Q109" s="37" t="n">
        <v>1425</v>
      </c>
      <c r="R109" s="37" t="n">
        <v>1425</v>
      </c>
      <c r="S109" s="37" t="n">
        <v>1425</v>
      </c>
      <c r="T109" s="37" t="n">
        <v>1425</v>
      </c>
      <c r="U109" s="37" t="n">
        <v>1425</v>
      </c>
    </row>
    <row r="110">
      <c r="A110" s="11" t="inlineStr">
        <is>
          <t>10-203</t>
        </is>
      </c>
      <c r="B110" s="38">
        <f>U110</f>
        <v/>
      </c>
      <c r="C110" s="51" t="n">
        <v>1450</v>
      </c>
      <c r="D110" s="38">
        <f>C110-B110</f>
        <v/>
      </c>
      <c r="E110" s="38" t="n">
        <v>1175</v>
      </c>
      <c r="F110" s="38" t="n">
        <v>1175</v>
      </c>
      <c r="G110" s="38" t="n">
        <v>1175</v>
      </c>
      <c r="H110" s="38" t="n">
        <v>1175</v>
      </c>
      <c r="I110" s="38" t="n">
        <v>1175</v>
      </c>
      <c r="J110" s="38" t="n">
        <v>1175</v>
      </c>
      <c r="K110" s="38" t="n">
        <v>1175</v>
      </c>
      <c r="L110" s="38" t="n">
        <v>1225</v>
      </c>
      <c r="M110" s="38" t="n">
        <v>1225</v>
      </c>
      <c r="N110" s="38" t="n">
        <v>1225</v>
      </c>
      <c r="O110" s="38" t="n">
        <v>1225</v>
      </c>
      <c r="P110" s="38" t="n">
        <v>1225</v>
      </c>
      <c r="Q110" s="38" t="n">
        <v>1225</v>
      </c>
      <c r="R110" s="38" t="n">
        <v>1225</v>
      </c>
      <c r="S110" s="38" t="n">
        <v>1225</v>
      </c>
      <c r="T110" s="38" t="n">
        <v>1225</v>
      </c>
      <c r="U110" s="38" t="n">
        <v>1225</v>
      </c>
    </row>
    <row r="111">
      <c r="A111" s="8" t="inlineStr">
        <is>
          <t>10-204</t>
        </is>
      </c>
      <c r="B111" s="37">
        <f>U111</f>
        <v/>
      </c>
      <c r="C111" s="52" t="n">
        <v>1450</v>
      </c>
      <c r="D111" s="37">
        <f>C111-B111</f>
        <v/>
      </c>
      <c r="E111" s="37" t="n">
        <v>1110</v>
      </c>
      <c r="F111" s="37" t="n">
        <v>1110</v>
      </c>
      <c r="G111" s="37" t="n">
        <v>1110</v>
      </c>
      <c r="H111" s="37" t="n">
        <v>1110</v>
      </c>
      <c r="I111" s="37" t="n">
        <v>1110</v>
      </c>
      <c r="J111" s="37" t="n">
        <v>1110</v>
      </c>
      <c r="K111" s="37" t="n">
        <v>1110</v>
      </c>
      <c r="L111" s="37" t="n">
        <v>1110</v>
      </c>
      <c r="M111" s="37" t="n">
        <v>1175</v>
      </c>
      <c r="N111" s="37" t="n">
        <v>1175</v>
      </c>
      <c r="O111" s="37" t="n">
        <v>1175</v>
      </c>
      <c r="P111" s="37" t="n">
        <v>1175</v>
      </c>
      <c r="Q111" s="37" t="n">
        <v>1175</v>
      </c>
      <c r="R111" s="37" t="n">
        <v>1175</v>
      </c>
      <c r="S111" s="37" t="n">
        <v>1175</v>
      </c>
      <c r="T111" s="37" t="n">
        <v>1175</v>
      </c>
      <c r="U111" s="37" t="n">
        <v>1175</v>
      </c>
    </row>
    <row r="112">
      <c r="A112" s="11" t="inlineStr">
        <is>
          <t>10-205</t>
        </is>
      </c>
      <c r="B112" s="38">
        <f>U112</f>
        <v/>
      </c>
      <c r="C112" s="51" t="n">
        <v>1450</v>
      </c>
      <c r="D112" s="38">
        <f>C112-B112</f>
        <v/>
      </c>
      <c r="E112" s="38" t="n">
        <v>1250</v>
      </c>
      <c r="F112" s="38" t="n">
        <v>1250</v>
      </c>
      <c r="G112" s="38" t="n">
        <v>1250</v>
      </c>
      <c r="H112" s="38" t="n">
        <v>1250</v>
      </c>
      <c r="I112" s="38" t="n">
        <v>1250</v>
      </c>
      <c r="J112" s="38" t="n">
        <v>1250</v>
      </c>
      <c r="K112" s="38" t="n">
        <v>1250</v>
      </c>
      <c r="L112" s="38" t="n">
        <v>1250</v>
      </c>
      <c r="M112" s="38" t="n">
        <v>1250</v>
      </c>
      <c r="N112" s="38" t="n">
        <v>1275</v>
      </c>
      <c r="O112" s="38" t="n">
        <v>1275</v>
      </c>
      <c r="P112" s="38" t="n">
        <v>1275</v>
      </c>
      <c r="Q112" s="38" t="n">
        <v>1275</v>
      </c>
      <c r="R112" s="38" t="n">
        <v>1275</v>
      </c>
      <c r="S112" s="38" t="n">
        <v>1275</v>
      </c>
      <c r="T112" s="38" t="n">
        <v>1275</v>
      </c>
      <c r="U112" s="38" t="n">
        <v>1275</v>
      </c>
    </row>
    <row r="113">
      <c r="A113" s="8" t="inlineStr">
        <is>
          <t>10-206</t>
        </is>
      </c>
      <c r="B113" s="37">
        <f>U113</f>
        <v/>
      </c>
      <c r="C113" s="52" t="n">
        <v>1450</v>
      </c>
      <c r="D113" s="37">
        <f>C113-B113</f>
        <v/>
      </c>
      <c r="E113" s="37" t="n">
        <v>1075</v>
      </c>
      <c r="F113" s="37" t="n">
        <v>1075</v>
      </c>
      <c r="G113" s="37" t="n">
        <v>1075</v>
      </c>
      <c r="H113" s="37" t="n">
        <v>1075</v>
      </c>
      <c r="I113" s="37" t="n">
        <v>1075</v>
      </c>
      <c r="J113" s="37" t="n">
        <v>1075</v>
      </c>
      <c r="K113" s="37" t="n">
        <v>1075</v>
      </c>
      <c r="L113" s="37" t="n">
        <v>1300</v>
      </c>
      <c r="M113" s="37" t="n">
        <v>1300</v>
      </c>
      <c r="N113" s="37" t="n">
        <v>1300</v>
      </c>
      <c r="O113" s="37" t="n">
        <v>1300</v>
      </c>
      <c r="P113" s="37" t="n">
        <v>1300</v>
      </c>
      <c r="Q113" s="37" t="n">
        <v>1300</v>
      </c>
      <c r="R113" s="37" t="n">
        <v>1300</v>
      </c>
      <c r="S113" s="37" t="n">
        <v>1300</v>
      </c>
      <c r="T113" s="37" t="n">
        <v>1300</v>
      </c>
      <c r="U113" s="37" t="n">
        <v>1300</v>
      </c>
    </row>
    <row r="114">
      <c r="A114" s="11" t="inlineStr">
        <is>
          <t>10-207</t>
        </is>
      </c>
      <c r="B114" s="38">
        <f>U114</f>
        <v/>
      </c>
      <c r="C114" s="51" t="n">
        <v>1450</v>
      </c>
      <c r="D114" s="38">
        <f>C114-B114</f>
        <v/>
      </c>
      <c r="E114" s="38" t="n">
        <v>1275</v>
      </c>
      <c r="F114" s="38" t="n">
        <v>1275</v>
      </c>
      <c r="G114" s="38" t="n">
        <v>1275</v>
      </c>
      <c r="H114" s="38" t="n">
        <v>1275</v>
      </c>
      <c r="I114" s="38" t="n">
        <v>1275</v>
      </c>
      <c r="J114" s="38" t="n">
        <v>1275</v>
      </c>
      <c r="K114" s="38" t="n">
        <v>1275</v>
      </c>
      <c r="L114" s="38" t="inlineStr"/>
      <c r="M114" s="38" t="inlineStr"/>
      <c r="N114" s="38" t="n">
        <v>1500</v>
      </c>
      <c r="O114" s="38" t="n">
        <v>1500</v>
      </c>
      <c r="P114" s="38" t="n">
        <v>1500</v>
      </c>
      <c r="Q114" s="38" t="n">
        <v>1500</v>
      </c>
      <c r="R114" s="38" t="n">
        <v>1500</v>
      </c>
      <c r="S114" s="38" t="n">
        <v>1500</v>
      </c>
      <c r="T114" s="38" t="n">
        <v>1500</v>
      </c>
      <c r="U114" s="38" t="n">
        <v>1500</v>
      </c>
    </row>
    <row r="115">
      <c r="A115" s="8" t="inlineStr">
        <is>
          <t>10-208</t>
        </is>
      </c>
      <c r="B115" s="37">
        <f>U115</f>
        <v/>
      </c>
      <c r="C115" s="52" t="n">
        <v>1450</v>
      </c>
      <c r="D115" s="37">
        <f>C115-B115</f>
        <v/>
      </c>
      <c r="E115" s="37" t="n">
        <v>1350</v>
      </c>
      <c r="F115" s="37" t="n">
        <v>1350</v>
      </c>
      <c r="G115" s="37" t="n">
        <v>1350</v>
      </c>
      <c r="H115" s="37" t="n">
        <v>1350</v>
      </c>
      <c r="I115" s="37" t="n">
        <v>1350</v>
      </c>
      <c r="J115" s="37" t="n">
        <v>1350</v>
      </c>
      <c r="K115" s="37" t="n">
        <v>1350</v>
      </c>
      <c r="L115" s="37" t="n">
        <v>1350</v>
      </c>
      <c r="M115" s="37" t="n">
        <v>1350</v>
      </c>
      <c r="N115" s="37" t="n">
        <v>1400</v>
      </c>
      <c r="O115" s="37" t="n">
        <v>1400</v>
      </c>
      <c r="P115" s="37" t="inlineStr"/>
      <c r="Q115" s="37" t="n">
        <v>1500</v>
      </c>
      <c r="R115" s="37" t="n">
        <v>1500</v>
      </c>
      <c r="S115" s="37" t="n">
        <v>1500</v>
      </c>
      <c r="T115" s="37" t="n">
        <v>1500</v>
      </c>
      <c r="U115" s="37" t="inlineStr"/>
    </row>
    <row r="116">
      <c r="A116" s="11" t="inlineStr">
        <is>
          <t>10-301</t>
        </is>
      </c>
      <c r="B116" s="38">
        <f>U116</f>
        <v/>
      </c>
      <c r="C116" s="51" t="n">
        <v>1450</v>
      </c>
      <c r="D116" s="38">
        <f>C116-B116</f>
        <v/>
      </c>
      <c r="E116" s="38" t="n">
        <v>1125</v>
      </c>
      <c r="F116" s="38" t="n">
        <v>1125</v>
      </c>
      <c r="G116" s="38" t="n">
        <v>1165</v>
      </c>
      <c r="H116" s="38" t="n">
        <v>1165</v>
      </c>
      <c r="I116" s="38" t="n">
        <v>1165</v>
      </c>
      <c r="J116" s="38" t="n">
        <v>1165</v>
      </c>
      <c r="K116" s="38" t="n">
        <v>1165</v>
      </c>
      <c r="L116" s="38" t="n">
        <v>1165</v>
      </c>
      <c r="M116" s="38" t="n">
        <v>1165</v>
      </c>
      <c r="N116" s="38" t="inlineStr"/>
      <c r="O116" s="38" t="n">
        <v>1500</v>
      </c>
      <c r="P116" s="38" t="n">
        <v>1500</v>
      </c>
      <c r="Q116" s="38" t="n">
        <v>1500</v>
      </c>
      <c r="R116" s="38" t="n">
        <v>1500</v>
      </c>
      <c r="S116" s="38" t="n">
        <v>1500</v>
      </c>
      <c r="T116" s="38" t="n">
        <v>1500</v>
      </c>
      <c r="U116" s="38" t="n">
        <v>1500</v>
      </c>
    </row>
    <row r="117">
      <c r="A117" s="8" t="inlineStr">
        <is>
          <t>10-302</t>
        </is>
      </c>
      <c r="B117" s="37">
        <f>U117</f>
        <v/>
      </c>
      <c r="C117" s="52" t="n">
        <v>1450</v>
      </c>
      <c r="D117" s="37">
        <f>C117-B117</f>
        <v/>
      </c>
      <c r="E117" s="37" t="n">
        <v>1125</v>
      </c>
      <c r="F117" s="37" t="n">
        <v>1125</v>
      </c>
      <c r="G117" s="37" t="n">
        <v>1125</v>
      </c>
      <c r="H117" s="37" t="n">
        <v>1125</v>
      </c>
      <c r="I117" s="37" t="n">
        <v>1125</v>
      </c>
      <c r="J117" s="37" t="n">
        <v>1125</v>
      </c>
      <c r="K117" s="37" t="n">
        <v>1125</v>
      </c>
      <c r="L117" s="37" t="n">
        <v>1125</v>
      </c>
      <c r="M117" s="37" t="n">
        <v>1125</v>
      </c>
      <c r="N117" s="37" t="n">
        <v>1200</v>
      </c>
      <c r="O117" s="37" t="n">
        <v>1200</v>
      </c>
      <c r="P117" s="37" t="n">
        <v>1200</v>
      </c>
      <c r="Q117" s="37" t="n">
        <v>1200</v>
      </c>
      <c r="R117" s="37" t="n">
        <v>1200</v>
      </c>
      <c r="S117" s="37" t="n">
        <v>1200</v>
      </c>
      <c r="T117" s="37" t="n">
        <v>1200</v>
      </c>
      <c r="U117" s="37" t="n">
        <v>1200</v>
      </c>
    </row>
    <row r="118">
      <c r="A118" s="11" t="inlineStr">
        <is>
          <t>10-303</t>
        </is>
      </c>
      <c r="B118" s="38">
        <f>U118</f>
        <v/>
      </c>
      <c r="C118" s="51" t="n">
        <v>1450</v>
      </c>
      <c r="D118" s="38">
        <f>C118-B118</f>
        <v/>
      </c>
      <c r="E118" s="38" t="n">
        <v>1225</v>
      </c>
      <c r="F118" s="38" t="n">
        <v>1225</v>
      </c>
      <c r="G118" s="38" t="n">
        <v>1225</v>
      </c>
      <c r="H118" s="38" t="n">
        <v>1225</v>
      </c>
      <c r="I118" s="38" t="n">
        <v>1225</v>
      </c>
      <c r="J118" s="38" t="n">
        <v>1225</v>
      </c>
      <c r="K118" s="38" t="n">
        <v>1225</v>
      </c>
      <c r="L118" s="38" t="n">
        <v>1225</v>
      </c>
      <c r="M118" s="38" t="n">
        <v>1250</v>
      </c>
      <c r="N118" s="38" t="n">
        <v>1250</v>
      </c>
      <c r="O118" s="38" t="n">
        <v>1250</v>
      </c>
      <c r="P118" s="38" t="n">
        <v>1250</v>
      </c>
      <c r="Q118" s="38" t="n">
        <v>1250</v>
      </c>
      <c r="R118" s="38" t="n">
        <v>1250</v>
      </c>
      <c r="S118" s="38" t="n">
        <v>1250</v>
      </c>
      <c r="T118" s="38" t="n">
        <v>1250</v>
      </c>
      <c r="U118" s="38" t="n">
        <v>1250</v>
      </c>
    </row>
    <row r="119">
      <c r="A119" s="8" t="inlineStr">
        <is>
          <t>10-304</t>
        </is>
      </c>
      <c r="B119" s="37">
        <f>U119</f>
        <v/>
      </c>
      <c r="C119" s="52" t="n">
        <v>1450</v>
      </c>
      <c r="D119" s="37">
        <f>C119-B119</f>
        <v/>
      </c>
      <c r="E119" s="37" t="n">
        <v>1085</v>
      </c>
      <c r="F119" s="37" t="n">
        <v>1085</v>
      </c>
      <c r="G119" s="37" t="n">
        <v>1085</v>
      </c>
      <c r="H119" s="37" t="n">
        <v>1085</v>
      </c>
      <c r="I119" s="37" t="n">
        <v>1085</v>
      </c>
      <c r="J119" s="37" t="n">
        <v>1085</v>
      </c>
      <c r="K119" s="37" t="inlineStr"/>
      <c r="L119" s="37" t="n">
        <v>1160</v>
      </c>
      <c r="M119" s="37" t="n">
        <v>1160</v>
      </c>
      <c r="N119" s="37" t="inlineStr"/>
      <c r="O119" s="37" t="inlineStr"/>
      <c r="P119" s="37" t="n">
        <v>1300</v>
      </c>
      <c r="Q119" s="37" t="n">
        <v>1300</v>
      </c>
      <c r="R119" s="37" t="n">
        <v>1300</v>
      </c>
      <c r="S119" s="37" t="n">
        <v>1300</v>
      </c>
      <c r="T119" s="37" t="n">
        <v>1300</v>
      </c>
      <c r="U119" s="37" t="n">
        <v>1300</v>
      </c>
    </row>
    <row r="120">
      <c r="A120" s="11" t="inlineStr">
        <is>
          <t>10-305</t>
        </is>
      </c>
      <c r="B120" s="38">
        <f>U120</f>
        <v/>
      </c>
      <c r="C120" s="51" t="n">
        <v>1450</v>
      </c>
      <c r="D120" s="38">
        <f>C120-B120</f>
        <v/>
      </c>
      <c r="E120" s="38" t="n">
        <v>1000</v>
      </c>
      <c r="F120" s="38" t="n">
        <v>1000</v>
      </c>
      <c r="G120" s="38" t="n">
        <v>1000</v>
      </c>
      <c r="H120" s="38" t="n">
        <v>1000</v>
      </c>
      <c r="I120" s="38" t="n">
        <v>1000</v>
      </c>
      <c r="J120" s="38" t="n">
        <v>1000</v>
      </c>
      <c r="K120" s="38" t="n">
        <v>1040</v>
      </c>
      <c r="L120" s="38" t="n">
        <v>1040</v>
      </c>
      <c r="M120" s="38" t="n">
        <v>1040</v>
      </c>
      <c r="N120" s="38" t="n">
        <v>1090</v>
      </c>
      <c r="O120" s="38" t="n">
        <v>1090</v>
      </c>
      <c r="P120" s="38" t="n">
        <v>1090</v>
      </c>
      <c r="Q120" s="38" t="n">
        <v>1090</v>
      </c>
      <c r="R120" s="38" t="n">
        <v>1090</v>
      </c>
      <c r="S120" s="38" t="n">
        <v>1090</v>
      </c>
      <c r="T120" s="38" t="n">
        <v>1090</v>
      </c>
      <c r="U120" s="38" t="n">
        <v>1090</v>
      </c>
    </row>
    <row r="121">
      <c r="A121" s="8" t="inlineStr">
        <is>
          <t>10-306</t>
        </is>
      </c>
      <c r="B121" s="37">
        <f>U121</f>
        <v/>
      </c>
      <c r="C121" s="52" t="n">
        <v>1450</v>
      </c>
      <c r="D121" s="37">
        <f>C121-B121</f>
        <v/>
      </c>
      <c r="E121" s="37" t="n">
        <v>1250</v>
      </c>
      <c r="F121" s="37" t="n">
        <v>1250</v>
      </c>
      <c r="G121" s="37" t="n">
        <v>1250</v>
      </c>
      <c r="H121" s="37" t="n">
        <v>1250</v>
      </c>
      <c r="I121" s="37" t="n">
        <v>1250</v>
      </c>
      <c r="J121" s="37" t="n">
        <v>1250</v>
      </c>
      <c r="K121" s="37" t="n">
        <v>1250</v>
      </c>
      <c r="L121" s="37" t="n">
        <v>1250</v>
      </c>
      <c r="M121" s="37" t="n">
        <v>1250</v>
      </c>
      <c r="N121" s="37" t="n">
        <v>1250</v>
      </c>
      <c r="O121" s="37" t="inlineStr"/>
      <c r="P121" s="37" t="inlineStr"/>
      <c r="Q121" s="37" t="inlineStr"/>
      <c r="R121" s="37" t="n">
        <v>1300</v>
      </c>
      <c r="S121" s="37" t="n">
        <v>1300</v>
      </c>
      <c r="T121" s="37" t="n">
        <v>1300</v>
      </c>
      <c r="U121" s="37" t="n">
        <v>1300</v>
      </c>
    </row>
    <row r="122">
      <c r="A122" s="11" t="inlineStr">
        <is>
          <t>10-307</t>
        </is>
      </c>
      <c r="B122" s="38">
        <f>U122</f>
        <v/>
      </c>
      <c r="C122" s="51" t="n">
        <v>1450</v>
      </c>
      <c r="D122" s="38">
        <f>C122-B122</f>
        <v/>
      </c>
      <c r="E122" s="38" t="n">
        <v>1200</v>
      </c>
      <c r="F122" s="38" t="n">
        <v>1200</v>
      </c>
      <c r="G122" s="38" t="n">
        <v>1200</v>
      </c>
      <c r="H122" s="38" t="n">
        <v>1200</v>
      </c>
      <c r="I122" s="38" t="n">
        <v>1200</v>
      </c>
      <c r="J122" s="38" t="n">
        <v>1200</v>
      </c>
      <c r="K122" s="38" t="n">
        <v>1200</v>
      </c>
      <c r="L122" s="38" t="n">
        <v>1200</v>
      </c>
      <c r="M122" s="38" t="n">
        <v>1200</v>
      </c>
      <c r="N122" s="38" t="n">
        <v>1200</v>
      </c>
      <c r="O122" s="38" t="n">
        <v>1275</v>
      </c>
      <c r="P122" s="38" t="n">
        <v>1275</v>
      </c>
      <c r="Q122" s="38" t="n">
        <v>1275</v>
      </c>
      <c r="R122" s="38" t="n">
        <v>1275</v>
      </c>
      <c r="S122" s="38" t="n">
        <v>1275</v>
      </c>
      <c r="T122" s="38" t="n">
        <v>1275</v>
      </c>
      <c r="U122" s="38" t="n">
        <v>1275</v>
      </c>
    </row>
    <row r="123">
      <c r="A123" s="8" t="inlineStr">
        <is>
          <t>10-308</t>
        </is>
      </c>
      <c r="B123" s="37">
        <f>U123</f>
        <v/>
      </c>
      <c r="C123" s="52" t="n">
        <v>1450</v>
      </c>
      <c r="D123" s="37">
        <f>C123-B123</f>
        <v/>
      </c>
      <c r="E123" s="37" t="n">
        <v>1195</v>
      </c>
      <c r="F123" s="37" t="n">
        <v>1195</v>
      </c>
      <c r="G123" s="37" t="n">
        <v>1195</v>
      </c>
      <c r="H123" s="37" t="n">
        <v>1195</v>
      </c>
      <c r="I123" s="37" t="n">
        <v>1195</v>
      </c>
      <c r="J123" s="37" t="n">
        <v>1195</v>
      </c>
      <c r="K123" s="37" t="n">
        <v>1195</v>
      </c>
      <c r="L123" s="37" t="n">
        <v>1195</v>
      </c>
      <c r="M123" s="37" t="n">
        <v>1195</v>
      </c>
      <c r="N123" s="37" t="n">
        <v>1195</v>
      </c>
      <c r="O123" s="37" t="n">
        <v>1195</v>
      </c>
      <c r="P123" s="37" t="inlineStr"/>
      <c r="Q123" s="37" t="n">
        <v>1500</v>
      </c>
      <c r="R123" s="37" t="n">
        <v>1500</v>
      </c>
      <c r="S123" s="37" t="n">
        <v>1500</v>
      </c>
      <c r="T123" s="37" t="n">
        <v>1500</v>
      </c>
      <c r="U123" s="37" t="n">
        <v>1500</v>
      </c>
    </row>
    <row r="124">
      <c r="A124" s="40" t="inlineStr">
        <is>
          <t>TOTAL</t>
        </is>
      </c>
      <c r="B124" s="41">
        <f>SUM(B4:B123)</f>
        <v/>
      </c>
      <c r="C124" s="41">
        <f>SUM(C4:C123)</f>
        <v/>
      </c>
      <c r="D124" s="40" t="n"/>
      <c r="E124" s="41">
        <f>SUM(E4:E123)</f>
        <v/>
      </c>
      <c r="F124" s="41">
        <f>SUM(F4:F123)</f>
        <v/>
      </c>
      <c r="G124" s="41">
        <f>SUM(G4:G123)</f>
        <v/>
      </c>
      <c r="H124" s="41">
        <f>SUM(H4:H123)</f>
        <v/>
      </c>
      <c r="I124" s="41">
        <f>SUM(I4:I123)</f>
        <v/>
      </c>
      <c r="J124" s="41">
        <f>SUM(J4:J123)</f>
        <v/>
      </c>
      <c r="K124" s="41">
        <f>SUM(K4:K123)</f>
        <v/>
      </c>
      <c r="L124" s="41">
        <f>SUM(L4:L123)</f>
        <v/>
      </c>
      <c r="M124" s="41">
        <f>SUM(M4:M123)</f>
        <v/>
      </c>
      <c r="N124" s="41">
        <f>SUM(N4:N123)</f>
        <v/>
      </c>
      <c r="O124" s="41">
        <f>SUM(O4:O123)</f>
        <v/>
      </c>
      <c r="P124" s="41">
        <f>SUM(P4:P123)</f>
        <v/>
      </c>
      <c r="Q124" s="41">
        <f>SUM(Q4:Q123)</f>
        <v/>
      </c>
      <c r="R124" s="41">
        <f>SUM(R4:R123)</f>
        <v/>
      </c>
      <c r="S124" s="41">
        <f>SUM(S4:S123)</f>
        <v/>
      </c>
      <c r="T124" s="41">
        <f>SUM(T4:T123)</f>
        <v/>
      </c>
      <c r="U124" s="41">
        <f>SUM(U4:U123)</f>
        <v/>
      </c>
    </row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30" customWidth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Unit Improvements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8" customHeight="1">
      <c r="A2" s="4" t="inlineStr">
        <is>
          <t>Renovation scope and rent impact by unit  |  121 renovated units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0" customHeight="1">
      <c r="A3" s="7" t="inlineStr">
        <is>
          <t>Unit</t>
        </is>
      </c>
      <c r="B3" s="7" t="inlineStr">
        <is>
          <t>Mix</t>
        </is>
      </c>
      <c r="C3" s="7" t="inlineStr">
        <is>
          <t>Condition</t>
        </is>
      </c>
      <c r="D3" s="7" t="inlineStr">
        <is>
          <t>OrigRent</t>
        </is>
      </c>
      <c r="E3" s="7" t="inlineStr">
        <is>
          <t>CurrRent</t>
        </is>
      </c>
      <c r="F3" s="7" t="inlineStr">
        <is>
          <t>MktRent</t>
        </is>
      </c>
      <c r="G3" s="7" t="inlineStr">
        <is>
          <t>LTL</t>
        </is>
      </c>
      <c r="H3" s="7" t="inlineStr">
        <is>
          <t>Flooring</t>
        </is>
      </c>
      <c r="I3" s="7" t="inlineStr">
        <is>
          <t>Cabinets</t>
        </is>
      </c>
      <c r="J3" s="7" t="inlineStr">
        <is>
          <t>Notes</t>
        </is>
      </c>
    </row>
    <row r="4">
      <c r="A4" s="11" t="inlineStr">
        <is>
          <t>00-102</t>
        </is>
      </c>
      <c r="B4" s="12" t="inlineStr">
        <is>
          <t>2/1.00</t>
        </is>
      </c>
      <c r="C4" s="12" t="inlineStr">
        <is>
          <t>Renovated</t>
        </is>
      </c>
      <c r="D4" s="25" t="n">
        <v>1350</v>
      </c>
      <c r="E4" s="25" t="n">
        <v>1500</v>
      </c>
      <c r="F4" s="25" t="n">
        <v>1550</v>
      </c>
      <c r="G4" s="25" t="n">
        <v>50</v>
      </c>
      <c r="H4" s="12" t="inlineStr">
        <is>
          <t>✓</t>
        </is>
      </c>
      <c r="I4" s="12" t="inlineStr">
        <is>
          <t>·</t>
        </is>
      </c>
      <c r="J4" s="12" t="inlineStr"/>
    </row>
    <row r="5">
      <c r="A5" s="8" t="inlineStr">
        <is>
          <t>00-103</t>
        </is>
      </c>
      <c r="B5" s="10" t="inlineStr">
        <is>
          <t>1/1.00</t>
        </is>
      </c>
      <c r="C5" s="10" t="inlineStr">
        <is>
          <t>Renovated</t>
        </is>
      </c>
      <c r="D5" s="26" t="n">
        <v>1025</v>
      </c>
      <c r="E5" s="26" t="n">
        <v>1300</v>
      </c>
      <c r="F5" s="26" t="n">
        <v>1350</v>
      </c>
      <c r="G5" s="26" t="n">
        <v>50</v>
      </c>
      <c r="H5" s="10" t="inlineStr">
        <is>
          <t>✓</t>
        </is>
      </c>
      <c r="I5" s="10" t="inlineStr">
        <is>
          <t>·</t>
        </is>
      </c>
      <c r="J5" s="10" t="inlineStr"/>
    </row>
    <row r="6">
      <c r="A6" s="11" t="inlineStr">
        <is>
          <t>00-104</t>
        </is>
      </c>
      <c r="B6" s="12" t="inlineStr">
        <is>
          <t>1/1.00</t>
        </is>
      </c>
      <c r="C6" s="12" t="inlineStr">
        <is>
          <t>Renovated</t>
        </is>
      </c>
      <c r="D6" s="25" t="n">
        <v>1150</v>
      </c>
      <c r="E6" s="25" t="n">
        <v>1300</v>
      </c>
      <c r="F6" s="25" t="n">
        <v>1350</v>
      </c>
      <c r="G6" s="25" t="n">
        <v>50</v>
      </c>
      <c r="H6" s="12" t="inlineStr">
        <is>
          <t>·</t>
        </is>
      </c>
      <c r="I6" s="12" t="inlineStr">
        <is>
          <t>·</t>
        </is>
      </c>
      <c r="J6" s="12" t="inlineStr"/>
    </row>
    <row r="7">
      <c r="A7" s="8" t="inlineStr">
        <is>
          <t>00-108</t>
        </is>
      </c>
      <c r="B7" s="10" t="inlineStr">
        <is>
          <t>2/1.00</t>
        </is>
      </c>
      <c r="C7" s="10" t="inlineStr">
        <is>
          <t>Renovated</t>
        </is>
      </c>
      <c r="D7" s="26" t="n">
        <v>1375</v>
      </c>
      <c r="E7" s="26" t="n">
        <v>1500</v>
      </c>
      <c r="F7" s="26" t="n">
        <v>1550</v>
      </c>
      <c r="G7" s="26" t="n">
        <v>50</v>
      </c>
      <c r="H7" s="10" t="inlineStr">
        <is>
          <t>·</t>
        </is>
      </c>
      <c r="I7" s="10" t="inlineStr">
        <is>
          <t>·</t>
        </is>
      </c>
      <c r="J7" s="10" t="inlineStr"/>
    </row>
    <row r="8">
      <c r="A8" s="11" t="inlineStr">
        <is>
          <t>00-202</t>
        </is>
      </c>
      <c r="B8" s="12" t="inlineStr">
        <is>
          <t>2/1.00</t>
        </is>
      </c>
      <c r="C8" s="12" t="inlineStr">
        <is>
          <t>Renovated</t>
        </is>
      </c>
      <c r="D8" s="25" t="n">
        <v>1325</v>
      </c>
      <c r="E8" s="25" t="n">
        <v>1500</v>
      </c>
      <c r="F8" s="25" t="n">
        <v>1550</v>
      </c>
      <c r="G8" s="25" t="n">
        <v>50</v>
      </c>
      <c r="H8" s="12" t="inlineStr">
        <is>
          <t>·</t>
        </is>
      </c>
      <c r="I8" s="12" t="inlineStr">
        <is>
          <t>·</t>
        </is>
      </c>
      <c r="J8" s="12" t="inlineStr"/>
    </row>
    <row r="9">
      <c r="A9" s="8" t="inlineStr">
        <is>
          <t>00-207</t>
        </is>
      </c>
      <c r="B9" s="10" t="inlineStr">
        <is>
          <t>2/1.00</t>
        </is>
      </c>
      <c r="C9" s="10" t="inlineStr">
        <is>
          <t>Renovated</t>
        </is>
      </c>
      <c r="D9" s="26" t="n">
        <v>1500</v>
      </c>
      <c r="E9" s="26" t="n">
        <v>1500</v>
      </c>
      <c r="F9" s="26" t="n">
        <v>1550</v>
      </c>
      <c r="G9" s="26" t="n">
        <v>50</v>
      </c>
      <c r="H9" s="10" t="inlineStr">
        <is>
          <t>·</t>
        </is>
      </c>
      <c r="I9" s="10" t="inlineStr">
        <is>
          <t>·</t>
        </is>
      </c>
      <c r="J9" s="10" t="inlineStr"/>
    </row>
    <row r="10">
      <c r="A10" s="11" t="inlineStr">
        <is>
          <t>00-208</t>
        </is>
      </c>
      <c r="B10" s="12" t="inlineStr">
        <is>
          <t>2/1.00</t>
        </is>
      </c>
      <c r="C10" s="12" t="inlineStr">
        <is>
          <t>Renovated</t>
        </is>
      </c>
      <c r="D10" s="25" t="n">
        <v>1445</v>
      </c>
      <c r="E10" s="25" t="n">
        <v>1500</v>
      </c>
      <c r="F10" s="25" t="n">
        <v>1550</v>
      </c>
      <c r="G10" s="25" t="n">
        <v>50</v>
      </c>
      <c r="H10" s="12" t="inlineStr">
        <is>
          <t>·</t>
        </is>
      </c>
      <c r="I10" s="12" t="inlineStr">
        <is>
          <t>·</t>
        </is>
      </c>
      <c r="J10" s="12" t="inlineStr"/>
    </row>
    <row r="11">
      <c r="A11" s="8" t="inlineStr">
        <is>
          <t>00-301</t>
        </is>
      </c>
      <c r="B11" s="10" t="inlineStr">
        <is>
          <t>2/1.00</t>
        </is>
      </c>
      <c r="C11" s="10" t="inlineStr">
        <is>
          <t>Renovated</t>
        </is>
      </c>
      <c r="D11" s="26" t="n">
        <v>1450</v>
      </c>
      <c r="E11" s="26" t="inlineStr"/>
      <c r="F11" s="26" t="n">
        <v>1550</v>
      </c>
      <c r="G11" s="26" t="n">
        <v>1550</v>
      </c>
      <c r="H11" s="10" t="inlineStr">
        <is>
          <t>·</t>
        </is>
      </c>
      <c r="I11" s="10" t="inlineStr">
        <is>
          <t>·</t>
        </is>
      </c>
      <c r="J11" s="10" t="inlineStr"/>
    </row>
    <row r="12">
      <c r="A12" s="11" t="inlineStr">
        <is>
          <t>00-302</t>
        </is>
      </c>
      <c r="B12" s="12" t="inlineStr">
        <is>
          <t>2/1.00</t>
        </is>
      </c>
      <c r="C12" s="12" t="inlineStr">
        <is>
          <t>Renovated</t>
        </is>
      </c>
      <c r="D12" s="25" t="n">
        <v>1450</v>
      </c>
      <c r="E12" s="25" t="n">
        <v>1450</v>
      </c>
      <c r="F12" s="25" t="n">
        <v>1550</v>
      </c>
      <c r="G12" s="25" t="n">
        <v>100</v>
      </c>
      <c r="H12" s="12" t="inlineStr">
        <is>
          <t>·</t>
        </is>
      </c>
      <c r="I12" s="12" t="inlineStr">
        <is>
          <t>·</t>
        </is>
      </c>
      <c r="J12" s="12" t="inlineStr"/>
    </row>
    <row r="13">
      <c r="A13" s="8" t="inlineStr">
        <is>
          <t>00-306</t>
        </is>
      </c>
      <c r="B13" s="10" t="inlineStr">
        <is>
          <t>1/1.00</t>
        </is>
      </c>
      <c r="C13" s="10" t="inlineStr">
        <is>
          <t>Renovated</t>
        </is>
      </c>
      <c r="D13" s="26" t="n">
        <v>1100</v>
      </c>
      <c r="E13" s="26" t="n">
        <v>1300</v>
      </c>
      <c r="F13" s="26" t="n">
        <v>1350</v>
      </c>
      <c r="G13" s="26" t="n">
        <v>50</v>
      </c>
      <c r="H13" s="10" t="inlineStr">
        <is>
          <t>·</t>
        </is>
      </c>
      <c r="I13" s="10" t="inlineStr">
        <is>
          <t>·</t>
        </is>
      </c>
      <c r="J13" s="10" t="inlineStr"/>
    </row>
    <row r="14">
      <c r="A14" s="11" t="inlineStr">
        <is>
          <t>04-101</t>
        </is>
      </c>
      <c r="B14" s="12" t="inlineStr">
        <is>
          <t>2/1.00</t>
        </is>
      </c>
      <c r="C14" s="12" t="inlineStr">
        <is>
          <t>Renovated</t>
        </is>
      </c>
      <c r="D14" s="25" t="n">
        <v>1425</v>
      </c>
      <c r="E14" s="25" t="n">
        <v>1475</v>
      </c>
      <c r="F14" s="25" t="n">
        <v>1550</v>
      </c>
      <c r="G14" s="25" t="n">
        <v>75</v>
      </c>
      <c r="H14" s="12" t="inlineStr">
        <is>
          <t>·</t>
        </is>
      </c>
      <c r="I14" s="12" t="inlineStr">
        <is>
          <t>·</t>
        </is>
      </c>
      <c r="J14" s="12" t="inlineStr"/>
    </row>
    <row r="15">
      <c r="A15" s="8" t="inlineStr">
        <is>
          <t>04-102</t>
        </is>
      </c>
      <c r="B15" s="10" t="inlineStr">
        <is>
          <t>2/1.00</t>
        </is>
      </c>
      <c r="C15" s="10" t="inlineStr">
        <is>
          <t>Renovated</t>
        </is>
      </c>
      <c r="D15" s="26" t="n">
        <v>1200</v>
      </c>
      <c r="E15" s="26" t="n">
        <v>1500</v>
      </c>
      <c r="F15" s="26" t="n">
        <v>1550</v>
      </c>
      <c r="G15" s="26" t="n">
        <v>50</v>
      </c>
      <c r="H15" s="10" t="inlineStr">
        <is>
          <t>·</t>
        </is>
      </c>
      <c r="I15" s="10" t="inlineStr">
        <is>
          <t>·</t>
        </is>
      </c>
      <c r="J15" s="10" t="inlineStr"/>
    </row>
    <row r="16">
      <c r="A16" s="11" t="inlineStr">
        <is>
          <t>04-106</t>
        </is>
      </c>
      <c r="B16" s="12" t="inlineStr">
        <is>
          <t>1/1.00</t>
        </is>
      </c>
      <c r="C16" s="12" t="inlineStr">
        <is>
          <t>Renovated</t>
        </is>
      </c>
      <c r="D16" s="25" t="n">
        <v>1150</v>
      </c>
      <c r="E16" s="25" t="n">
        <v>1300</v>
      </c>
      <c r="F16" s="25" t="n">
        <v>1350</v>
      </c>
      <c r="G16" s="25" t="n">
        <v>50</v>
      </c>
      <c r="H16" s="12" t="inlineStr">
        <is>
          <t>·</t>
        </is>
      </c>
      <c r="I16" s="12" t="inlineStr">
        <is>
          <t>·</t>
        </is>
      </c>
      <c r="J16" s="12" t="inlineStr"/>
    </row>
    <row r="17">
      <c r="A17" s="8" t="inlineStr">
        <is>
          <t>04-201</t>
        </is>
      </c>
      <c r="B17" s="10" t="inlineStr">
        <is>
          <t>2/1.00</t>
        </is>
      </c>
      <c r="C17" s="10" t="inlineStr">
        <is>
          <t>Renovated</t>
        </is>
      </c>
      <c r="D17" s="26" t="n">
        <v>1375</v>
      </c>
      <c r="E17" s="26" t="n">
        <v>1450</v>
      </c>
      <c r="F17" s="26" t="n">
        <v>1550</v>
      </c>
      <c r="G17" s="26" t="n">
        <v>100</v>
      </c>
      <c r="H17" s="10" t="inlineStr">
        <is>
          <t>·</t>
        </is>
      </c>
      <c r="I17" s="10" t="inlineStr">
        <is>
          <t>·</t>
        </is>
      </c>
      <c r="J17" s="10" t="inlineStr"/>
    </row>
    <row r="18">
      <c r="A18" s="11" t="inlineStr">
        <is>
          <t>04-203</t>
        </is>
      </c>
      <c r="B18" s="12" t="inlineStr">
        <is>
          <t>1/1.00</t>
        </is>
      </c>
      <c r="C18" s="12" t="inlineStr">
        <is>
          <t>Renovated</t>
        </is>
      </c>
      <c r="D18" s="25" t="n">
        <v>1295</v>
      </c>
      <c r="E18" s="25" t="n">
        <v>1300</v>
      </c>
      <c r="F18" s="25" t="n">
        <v>1350</v>
      </c>
      <c r="G18" s="25" t="n">
        <v>50</v>
      </c>
      <c r="H18" s="12" t="inlineStr">
        <is>
          <t>·</t>
        </is>
      </c>
      <c r="I18" s="12" t="inlineStr">
        <is>
          <t>·</t>
        </is>
      </c>
      <c r="J18" s="12" t="inlineStr"/>
    </row>
    <row r="19">
      <c r="A19" s="8" t="inlineStr">
        <is>
          <t>04-204</t>
        </is>
      </c>
      <c r="B19" s="10" t="inlineStr">
        <is>
          <t>1/1.00</t>
        </is>
      </c>
      <c r="C19" s="10" t="inlineStr">
        <is>
          <t>Renovated</t>
        </is>
      </c>
      <c r="D19" s="26" t="n">
        <v>1085</v>
      </c>
      <c r="E19" s="26" t="n">
        <v>1300</v>
      </c>
      <c r="F19" s="26" t="n">
        <v>1350</v>
      </c>
      <c r="G19" s="26" t="n">
        <v>50</v>
      </c>
      <c r="H19" s="10" t="inlineStr">
        <is>
          <t>✓</t>
        </is>
      </c>
      <c r="I19" s="10" t="inlineStr">
        <is>
          <t>✓</t>
        </is>
      </c>
      <c r="J19" s="10" t="inlineStr"/>
    </row>
    <row r="20">
      <c r="A20" s="11" t="inlineStr">
        <is>
          <t>04-205</t>
        </is>
      </c>
      <c r="B20" s="12" t="inlineStr">
        <is>
          <t>1/1.00</t>
        </is>
      </c>
      <c r="C20" s="12" t="inlineStr">
        <is>
          <t>Renovated</t>
        </is>
      </c>
      <c r="D20" s="25" t="inlineStr"/>
      <c r="E20" s="25" t="n">
        <v>1300</v>
      </c>
      <c r="F20" s="25" t="n">
        <v>1350</v>
      </c>
      <c r="G20" s="25" t="n">
        <v>50</v>
      </c>
      <c r="H20" s="12" t="inlineStr">
        <is>
          <t>✓</t>
        </is>
      </c>
      <c r="I20" s="12" t="inlineStr">
        <is>
          <t>·</t>
        </is>
      </c>
      <c r="J20" s="12" t="inlineStr"/>
    </row>
    <row r="21">
      <c r="A21" s="8" t="inlineStr">
        <is>
          <t>04-208</t>
        </is>
      </c>
      <c r="B21" s="10" t="inlineStr">
        <is>
          <t>2/1.00</t>
        </is>
      </c>
      <c r="C21" s="10" t="inlineStr">
        <is>
          <t>Renovated</t>
        </is>
      </c>
      <c r="D21" s="26" t="n">
        <v>1400</v>
      </c>
      <c r="E21" s="26" t="n">
        <v>1500</v>
      </c>
      <c r="F21" s="26" t="n">
        <v>1550</v>
      </c>
      <c r="G21" s="26" t="n">
        <v>50</v>
      </c>
      <c r="H21" s="10" t="inlineStr">
        <is>
          <t>·</t>
        </is>
      </c>
      <c r="I21" s="10" t="inlineStr">
        <is>
          <t>·</t>
        </is>
      </c>
      <c r="J21" s="10" t="inlineStr"/>
    </row>
    <row r="22">
      <c r="A22" s="11" t="inlineStr">
        <is>
          <t>04-304</t>
        </is>
      </c>
      <c r="B22" s="12" t="inlineStr">
        <is>
          <t>1/1.00</t>
        </is>
      </c>
      <c r="C22" s="12" t="inlineStr">
        <is>
          <t>Renovated</t>
        </is>
      </c>
      <c r="D22" s="25" t="n">
        <v>1250</v>
      </c>
      <c r="E22" s="25" t="n">
        <v>1300</v>
      </c>
      <c r="F22" s="25" t="n">
        <v>1350</v>
      </c>
      <c r="G22" s="25" t="n">
        <v>50</v>
      </c>
      <c r="H22" s="12" t="inlineStr">
        <is>
          <t>✓</t>
        </is>
      </c>
      <c r="I22" s="12" t="inlineStr">
        <is>
          <t>·</t>
        </is>
      </c>
      <c r="J22" s="12" t="inlineStr"/>
    </row>
    <row r="23">
      <c r="A23" s="8" t="inlineStr">
        <is>
          <t>04-308</t>
        </is>
      </c>
      <c r="B23" s="10" t="inlineStr">
        <is>
          <t>2/1.00</t>
        </is>
      </c>
      <c r="C23" s="10" t="inlineStr">
        <is>
          <t>Renovated</t>
        </is>
      </c>
      <c r="D23" s="26" t="n">
        <v>1400</v>
      </c>
      <c r="E23" s="26" t="n">
        <v>1500</v>
      </c>
      <c r="F23" s="26" t="n">
        <v>1550</v>
      </c>
      <c r="G23" s="26" t="n">
        <v>50</v>
      </c>
      <c r="H23" s="10" t="inlineStr">
        <is>
          <t>✓</t>
        </is>
      </c>
      <c r="I23" s="10" t="inlineStr">
        <is>
          <t>·</t>
        </is>
      </c>
      <c r="J23" s="10" t="inlineStr"/>
    </row>
    <row r="24">
      <c r="A24" s="11" t="inlineStr">
        <is>
          <t>06-103</t>
        </is>
      </c>
      <c r="B24" s="12" t="inlineStr">
        <is>
          <t>1/1.00</t>
        </is>
      </c>
      <c r="C24" s="12" t="inlineStr">
        <is>
          <t>Renovated</t>
        </is>
      </c>
      <c r="D24" s="25" t="n">
        <v>1250</v>
      </c>
      <c r="E24" s="25" t="n">
        <v>1300</v>
      </c>
      <c r="F24" s="25" t="n">
        <v>1350</v>
      </c>
      <c r="G24" s="25" t="n">
        <v>50</v>
      </c>
      <c r="H24" s="12" t="inlineStr">
        <is>
          <t>·</t>
        </is>
      </c>
      <c r="I24" s="12" t="inlineStr">
        <is>
          <t>·</t>
        </is>
      </c>
      <c r="J24" s="12" t="inlineStr"/>
    </row>
    <row r="25">
      <c r="A25" s="8" t="inlineStr">
        <is>
          <t>06-201</t>
        </is>
      </c>
      <c r="B25" s="10" t="inlineStr">
        <is>
          <t>2/1.00</t>
        </is>
      </c>
      <c r="C25" s="10" t="inlineStr">
        <is>
          <t>Renovated</t>
        </is>
      </c>
      <c r="D25" s="26" t="n">
        <v>1450</v>
      </c>
      <c r="E25" s="26" t="n">
        <v>1475</v>
      </c>
      <c r="F25" s="26" t="n">
        <v>1550</v>
      </c>
      <c r="G25" s="26" t="n">
        <v>75</v>
      </c>
      <c r="H25" s="10" t="inlineStr">
        <is>
          <t>·</t>
        </is>
      </c>
      <c r="I25" s="10" t="inlineStr">
        <is>
          <t>·</t>
        </is>
      </c>
      <c r="J25" s="10" t="inlineStr"/>
    </row>
    <row r="26">
      <c r="A26" s="11" t="inlineStr">
        <is>
          <t>06-202</t>
        </is>
      </c>
      <c r="B26" s="12" t="inlineStr">
        <is>
          <t>2/1.00</t>
        </is>
      </c>
      <c r="C26" s="12" t="inlineStr">
        <is>
          <t>Renovated</t>
        </is>
      </c>
      <c r="D26" s="25" t="n">
        <v>1230</v>
      </c>
      <c r="E26" s="25" t="n">
        <v>1500</v>
      </c>
      <c r="F26" s="25" t="n">
        <v>1550</v>
      </c>
      <c r="G26" s="25" t="n">
        <v>50</v>
      </c>
      <c r="H26" s="12" t="inlineStr">
        <is>
          <t>✓</t>
        </is>
      </c>
      <c r="I26" s="12" t="inlineStr">
        <is>
          <t>·</t>
        </is>
      </c>
      <c r="J26" s="12" t="inlineStr"/>
    </row>
    <row r="27">
      <c r="A27" s="8" t="inlineStr">
        <is>
          <t>06-204</t>
        </is>
      </c>
      <c r="B27" s="10" t="inlineStr">
        <is>
          <t>1/1.00</t>
        </is>
      </c>
      <c r="C27" s="10" t="inlineStr">
        <is>
          <t>Renovated</t>
        </is>
      </c>
      <c r="D27" s="26" t="n">
        <v>1300</v>
      </c>
      <c r="E27" s="26" t="n">
        <v>1300</v>
      </c>
      <c r="F27" s="26" t="n">
        <v>1350</v>
      </c>
      <c r="G27" s="26" t="n">
        <v>50</v>
      </c>
      <c r="H27" s="10" t="inlineStr">
        <is>
          <t>·</t>
        </is>
      </c>
      <c r="I27" s="10" t="inlineStr">
        <is>
          <t>·</t>
        </is>
      </c>
      <c r="J27" s="10" t="inlineStr"/>
    </row>
    <row r="28">
      <c r="A28" s="11" t="inlineStr">
        <is>
          <t>06-207</t>
        </is>
      </c>
      <c r="B28" s="12" t="inlineStr">
        <is>
          <t>2/1.00</t>
        </is>
      </c>
      <c r="C28" s="12" t="inlineStr">
        <is>
          <t>Renovated</t>
        </is>
      </c>
      <c r="D28" s="25" t="n">
        <v>1330</v>
      </c>
      <c r="E28" s="25" t="n">
        <v>1550</v>
      </c>
      <c r="F28" s="25" t="n">
        <v>1550</v>
      </c>
      <c r="G28" s="25" t="inlineStr"/>
      <c r="H28" s="12" t="inlineStr">
        <is>
          <t>✓</t>
        </is>
      </c>
      <c r="I28" s="12" t="inlineStr">
        <is>
          <t>·</t>
        </is>
      </c>
      <c r="J28" s="12" t="inlineStr"/>
    </row>
    <row r="29">
      <c r="A29" s="8" t="inlineStr">
        <is>
          <t>06-302</t>
        </is>
      </c>
      <c r="B29" s="10" t="inlineStr">
        <is>
          <t>2/1.00</t>
        </is>
      </c>
      <c r="C29" s="10" t="inlineStr">
        <is>
          <t>Renovated</t>
        </is>
      </c>
      <c r="D29" s="26" t="n">
        <v>1450</v>
      </c>
      <c r="E29" s="26" t="n">
        <v>1500</v>
      </c>
      <c r="F29" s="26" t="n">
        <v>1550</v>
      </c>
      <c r="G29" s="26" t="n">
        <v>50</v>
      </c>
      <c r="H29" s="10" t="inlineStr">
        <is>
          <t>·</t>
        </is>
      </c>
      <c r="I29" s="10" t="inlineStr">
        <is>
          <t>·</t>
        </is>
      </c>
      <c r="J29" s="10" t="inlineStr"/>
    </row>
    <row r="30">
      <c r="A30" s="11" t="inlineStr">
        <is>
          <t>06-303</t>
        </is>
      </c>
      <c r="B30" s="12" t="inlineStr">
        <is>
          <t>1/1.00</t>
        </is>
      </c>
      <c r="C30" s="12" t="inlineStr">
        <is>
          <t>Renovated</t>
        </is>
      </c>
      <c r="D30" s="25" t="n">
        <v>1225</v>
      </c>
      <c r="E30" s="25" t="n">
        <v>1300</v>
      </c>
      <c r="F30" s="25" t="n">
        <v>1350</v>
      </c>
      <c r="G30" s="25" t="n">
        <v>50</v>
      </c>
      <c r="H30" s="12" t="inlineStr">
        <is>
          <t>·</t>
        </is>
      </c>
      <c r="I30" s="12" t="inlineStr">
        <is>
          <t>·</t>
        </is>
      </c>
      <c r="J30" s="12" t="inlineStr"/>
    </row>
    <row r="31">
      <c r="A31" s="8" t="inlineStr">
        <is>
          <t>06-304</t>
        </is>
      </c>
      <c r="B31" s="10" t="inlineStr">
        <is>
          <t>1/1.00</t>
        </is>
      </c>
      <c r="C31" s="10" t="inlineStr">
        <is>
          <t>Renovated</t>
        </is>
      </c>
      <c r="D31" s="26" t="n">
        <v>1150</v>
      </c>
      <c r="E31" s="26" t="n">
        <v>1300</v>
      </c>
      <c r="F31" s="26" t="n">
        <v>1350</v>
      </c>
      <c r="G31" s="26" t="n">
        <v>50</v>
      </c>
      <c r="H31" s="10" t="inlineStr">
        <is>
          <t>·</t>
        </is>
      </c>
      <c r="I31" s="10" t="inlineStr">
        <is>
          <t>·</t>
        </is>
      </c>
      <c r="J31" s="10" t="inlineStr"/>
    </row>
    <row r="32">
      <c r="A32" s="11" t="inlineStr">
        <is>
          <t>06-305</t>
        </is>
      </c>
      <c r="B32" s="12" t="inlineStr">
        <is>
          <t>1/1.00</t>
        </is>
      </c>
      <c r="C32" s="12" t="inlineStr">
        <is>
          <t>Renovated</t>
        </is>
      </c>
      <c r="D32" s="25" t="n">
        <v>1250</v>
      </c>
      <c r="E32" s="25" t="n">
        <v>1300</v>
      </c>
      <c r="F32" s="25" t="n">
        <v>1350</v>
      </c>
      <c r="G32" s="25" t="n">
        <v>50</v>
      </c>
      <c r="H32" s="12" t="inlineStr">
        <is>
          <t>·</t>
        </is>
      </c>
      <c r="I32" s="12" t="inlineStr">
        <is>
          <t>·</t>
        </is>
      </c>
      <c r="J32" s="12" t="inlineStr"/>
    </row>
    <row r="33">
      <c r="A33" s="8" t="inlineStr">
        <is>
          <t>08-101</t>
        </is>
      </c>
      <c r="B33" s="10" t="inlineStr">
        <is>
          <t>2/1.00</t>
        </is>
      </c>
      <c r="C33" s="10" t="inlineStr">
        <is>
          <t>Renovated</t>
        </is>
      </c>
      <c r="D33" s="26" t="n">
        <v>1450</v>
      </c>
      <c r="E33" s="26" t="n">
        <v>1500</v>
      </c>
      <c r="F33" s="26" t="n">
        <v>1550</v>
      </c>
      <c r="G33" s="26" t="n">
        <v>50</v>
      </c>
      <c r="H33" s="10" t="inlineStr">
        <is>
          <t>·</t>
        </is>
      </c>
      <c r="I33" s="10" t="inlineStr">
        <is>
          <t>·</t>
        </is>
      </c>
      <c r="J33" s="10" t="inlineStr"/>
    </row>
    <row r="34">
      <c r="A34" s="11" t="inlineStr">
        <is>
          <t>08-105</t>
        </is>
      </c>
      <c r="B34" s="12" t="inlineStr">
        <is>
          <t>1/1.00</t>
        </is>
      </c>
      <c r="C34" s="12" t="inlineStr">
        <is>
          <t>Renovated</t>
        </is>
      </c>
      <c r="D34" s="25" t="n">
        <v>1125</v>
      </c>
      <c r="E34" s="25" t="n">
        <v>1300</v>
      </c>
      <c r="F34" s="25" t="n">
        <v>1350</v>
      </c>
      <c r="G34" s="25" t="n">
        <v>50</v>
      </c>
      <c r="H34" s="12" t="inlineStr">
        <is>
          <t>✓</t>
        </is>
      </c>
      <c r="I34" s="12" t="inlineStr">
        <is>
          <t>✓</t>
        </is>
      </c>
      <c r="J34" s="12" t="inlineStr"/>
    </row>
    <row r="35">
      <c r="A35" s="8" t="inlineStr">
        <is>
          <t>08-201</t>
        </is>
      </c>
      <c r="B35" s="10" t="inlineStr">
        <is>
          <t>2/1.00</t>
        </is>
      </c>
      <c r="C35" s="10" t="inlineStr">
        <is>
          <t>Renovated</t>
        </is>
      </c>
      <c r="D35" s="26" t="n">
        <v>1450</v>
      </c>
      <c r="E35" s="26" t="n">
        <v>1500</v>
      </c>
      <c r="F35" s="26" t="n">
        <v>1550</v>
      </c>
      <c r="G35" s="26" t="n">
        <v>50</v>
      </c>
      <c r="H35" s="10" t="inlineStr">
        <is>
          <t>·</t>
        </is>
      </c>
      <c r="I35" s="10" t="inlineStr">
        <is>
          <t>·</t>
        </is>
      </c>
      <c r="J35" s="10" t="inlineStr"/>
    </row>
    <row r="36">
      <c r="A36" s="11" t="inlineStr">
        <is>
          <t>08-202</t>
        </is>
      </c>
      <c r="B36" s="12" t="inlineStr">
        <is>
          <t>2/1.00</t>
        </is>
      </c>
      <c r="C36" s="12" t="inlineStr">
        <is>
          <t>Renovated</t>
        </is>
      </c>
      <c r="D36" s="25" t="n">
        <v>1450</v>
      </c>
      <c r="E36" s="25" t="n">
        <v>1450</v>
      </c>
      <c r="F36" s="25" t="n">
        <v>1550</v>
      </c>
      <c r="G36" s="25" t="n">
        <v>100</v>
      </c>
      <c r="H36" s="12" t="inlineStr">
        <is>
          <t>·</t>
        </is>
      </c>
      <c r="I36" s="12" t="inlineStr">
        <is>
          <t>·</t>
        </is>
      </c>
      <c r="J36" s="12" t="inlineStr"/>
    </row>
    <row r="37">
      <c r="A37" s="8" t="inlineStr">
        <is>
          <t>08-207</t>
        </is>
      </c>
      <c r="B37" s="10" t="inlineStr">
        <is>
          <t>2/1.00</t>
        </is>
      </c>
      <c r="C37" s="10" t="inlineStr">
        <is>
          <t>Renovated</t>
        </is>
      </c>
      <c r="D37" s="26" t="n">
        <v>1450</v>
      </c>
      <c r="E37" s="26" t="n">
        <v>1450</v>
      </c>
      <c r="F37" s="26" t="n">
        <v>1550</v>
      </c>
      <c r="G37" s="26" t="n">
        <v>100</v>
      </c>
      <c r="H37" s="10" t="inlineStr">
        <is>
          <t>·</t>
        </is>
      </c>
      <c r="I37" s="10" t="inlineStr">
        <is>
          <t>·</t>
        </is>
      </c>
      <c r="J37" s="10" t="inlineStr"/>
    </row>
    <row r="38">
      <c r="A38" s="11" t="inlineStr">
        <is>
          <t>08-208</t>
        </is>
      </c>
      <c r="B38" s="12" t="inlineStr">
        <is>
          <t>2/1.00</t>
        </is>
      </c>
      <c r="C38" s="12" t="inlineStr">
        <is>
          <t>Renovated</t>
        </is>
      </c>
      <c r="D38" s="25" t="n">
        <v>1425</v>
      </c>
      <c r="E38" s="25" t="n">
        <v>1450</v>
      </c>
      <c r="F38" s="25" t="n">
        <v>1550</v>
      </c>
      <c r="G38" s="25" t="n">
        <v>100</v>
      </c>
      <c r="H38" s="12" t="inlineStr">
        <is>
          <t>·</t>
        </is>
      </c>
      <c r="I38" s="12" t="inlineStr">
        <is>
          <t>·</t>
        </is>
      </c>
      <c r="J38" s="12" t="inlineStr"/>
    </row>
    <row r="39">
      <c r="A39" s="8" t="inlineStr">
        <is>
          <t>08-304</t>
        </is>
      </c>
      <c r="B39" s="10" t="inlineStr">
        <is>
          <t>1/1.00</t>
        </is>
      </c>
      <c r="C39" s="10" t="inlineStr">
        <is>
          <t>Renovated</t>
        </is>
      </c>
      <c r="D39" s="26" t="n">
        <v>1175</v>
      </c>
      <c r="E39" s="26" t="n">
        <v>1300</v>
      </c>
      <c r="F39" s="26" t="n">
        <v>1350</v>
      </c>
      <c r="G39" s="26" t="n">
        <v>50</v>
      </c>
      <c r="H39" s="10" t="inlineStr">
        <is>
          <t>·</t>
        </is>
      </c>
      <c r="I39" s="10" t="inlineStr">
        <is>
          <t>·</t>
        </is>
      </c>
      <c r="J39" s="10" t="inlineStr"/>
    </row>
    <row r="40">
      <c r="A40" s="11" t="inlineStr">
        <is>
          <t>08-308</t>
        </is>
      </c>
      <c r="B40" s="12" t="inlineStr">
        <is>
          <t>2/1.00</t>
        </is>
      </c>
      <c r="C40" s="12" t="inlineStr">
        <is>
          <t>Renovated</t>
        </is>
      </c>
      <c r="D40" s="25" t="n">
        <v>1475</v>
      </c>
      <c r="E40" s="25" t="n">
        <v>1500</v>
      </c>
      <c r="F40" s="25" t="n">
        <v>1550</v>
      </c>
      <c r="G40" s="25" t="n">
        <v>50</v>
      </c>
      <c r="H40" s="12" t="inlineStr">
        <is>
          <t>·</t>
        </is>
      </c>
      <c r="I40" s="12" t="inlineStr">
        <is>
          <t>·</t>
        </is>
      </c>
      <c r="J40" s="12" t="inlineStr"/>
    </row>
    <row r="41">
      <c r="A41" s="8" t="inlineStr">
        <is>
          <t>10-103</t>
        </is>
      </c>
      <c r="B41" s="10" t="inlineStr">
        <is>
          <t>1/1.00</t>
        </is>
      </c>
      <c r="C41" s="10" t="inlineStr">
        <is>
          <t>Renovated</t>
        </is>
      </c>
      <c r="D41" s="26" t="n">
        <v>1295</v>
      </c>
      <c r="E41" s="26" t="n">
        <v>1300</v>
      </c>
      <c r="F41" s="26" t="n">
        <v>1350</v>
      </c>
      <c r="G41" s="26" t="n">
        <v>50</v>
      </c>
      <c r="H41" s="10" t="inlineStr">
        <is>
          <t>·</t>
        </is>
      </c>
      <c r="I41" s="10" t="inlineStr">
        <is>
          <t>·</t>
        </is>
      </c>
      <c r="J41" s="10" t="inlineStr"/>
    </row>
    <row r="42">
      <c r="A42" s="11" t="inlineStr">
        <is>
          <t>10-201</t>
        </is>
      </c>
      <c r="B42" s="12" t="inlineStr">
        <is>
          <t>2/1.00</t>
        </is>
      </c>
      <c r="C42" s="12" t="inlineStr">
        <is>
          <t>Renovated</t>
        </is>
      </c>
      <c r="D42" s="25" t="n">
        <v>1465</v>
      </c>
      <c r="E42" s="25" t="n">
        <v>1490</v>
      </c>
      <c r="F42" s="25" t="n">
        <v>1550</v>
      </c>
      <c r="G42" s="25" t="n">
        <v>60</v>
      </c>
      <c r="H42" s="12" t="inlineStr">
        <is>
          <t>·</t>
        </is>
      </c>
      <c r="I42" s="12" t="inlineStr">
        <is>
          <t>·</t>
        </is>
      </c>
      <c r="J42" s="12" t="inlineStr"/>
    </row>
    <row r="43">
      <c r="A43" s="8" t="inlineStr">
        <is>
          <t>10-206</t>
        </is>
      </c>
      <c r="B43" s="10" t="inlineStr">
        <is>
          <t>1/1.00</t>
        </is>
      </c>
      <c r="C43" s="10" t="inlineStr">
        <is>
          <t>Renovated</t>
        </is>
      </c>
      <c r="D43" s="26" t="n">
        <v>1075</v>
      </c>
      <c r="E43" s="26" t="n">
        <v>1300</v>
      </c>
      <c r="F43" s="26" t="n">
        <v>1350</v>
      </c>
      <c r="G43" s="26" t="n">
        <v>50</v>
      </c>
      <c r="H43" s="10" t="inlineStr">
        <is>
          <t>✓</t>
        </is>
      </c>
      <c r="I43" s="10" t="inlineStr">
        <is>
          <t>·</t>
        </is>
      </c>
      <c r="J43" s="10" t="inlineStr"/>
    </row>
    <row r="44">
      <c r="A44" s="11" t="inlineStr">
        <is>
          <t>10-207</t>
        </is>
      </c>
      <c r="B44" s="12" t="inlineStr">
        <is>
          <t>2/1.00</t>
        </is>
      </c>
      <c r="C44" s="12" t="inlineStr">
        <is>
          <t>Renovated</t>
        </is>
      </c>
      <c r="D44" s="25" t="n">
        <v>1275</v>
      </c>
      <c r="E44" s="25" t="n">
        <v>1500</v>
      </c>
      <c r="F44" s="25" t="n">
        <v>1550</v>
      </c>
      <c r="G44" s="25" t="n">
        <v>50</v>
      </c>
      <c r="H44" s="12" t="inlineStr">
        <is>
          <t>·</t>
        </is>
      </c>
      <c r="I44" s="12" t="inlineStr">
        <is>
          <t>·</t>
        </is>
      </c>
      <c r="J44" s="12" t="inlineStr"/>
    </row>
    <row r="45">
      <c r="A45" s="8" t="inlineStr">
        <is>
          <t>10-208</t>
        </is>
      </c>
      <c r="B45" s="10" t="inlineStr">
        <is>
          <t>2/1.00</t>
        </is>
      </c>
      <c r="C45" s="10" t="inlineStr">
        <is>
          <t>Renovated</t>
        </is>
      </c>
      <c r="D45" s="26" t="n">
        <v>1350</v>
      </c>
      <c r="E45" s="26" t="inlineStr"/>
      <c r="F45" s="26" t="n">
        <v>1550</v>
      </c>
      <c r="G45" s="26" t="n">
        <v>1550</v>
      </c>
      <c r="H45" s="10" t="inlineStr">
        <is>
          <t>✓</t>
        </is>
      </c>
      <c r="I45" s="10" t="inlineStr">
        <is>
          <t>·</t>
        </is>
      </c>
      <c r="J45" s="10" t="inlineStr"/>
    </row>
    <row r="46">
      <c r="A46" s="11" t="inlineStr">
        <is>
          <t>10-301</t>
        </is>
      </c>
      <c r="B46" s="12" t="inlineStr">
        <is>
          <t>2/1.00</t>
        </is>
      </c>
      <c r="C46" s="12" t="inlineStr">
        <is>
          <t>Renovated</t>
        </is>
      </c>
      <c r="D46" s="25" t="n">
        <v>1125</v>
      </c>
      <c r="E46" s="25" t="n">
        <v>1500</v>
      </c>
      <c r="F46" s="25" t="n">
        <v>1550</v>
      </c>
      <c r="G46" s="25" t="n">
        <v>50</v>
      </c>
      <c r="H46" s="12" t="inlineStr">
        <is>
          <t>✓</t>
        </is>
      </c>
      <c r="I46" s="12" t="inlineStr">
        <is>
          <t>·</t>
        </is>
      </c>
      <c r="J46" s="12" t="inlineStr"/>
    </row>
    <row r="47">
      <c r="A47" s="8" t="inlineStr">
        <is>
          <t>10-304</t>
        </is>
      </c>
      <c r="B47" s="10" t="inlineStr">
        <is>
          <t>1/1.00</t>
        </is>
      </c>
      <c r="C47" s="10" t="inlineStr">
        <is>
          <t>Renovated</t>
        </is>
      </c>
      <c r="D47" s="26" t="n">
        <v>1085</v>
      </c>
      <c r="E47" s="26" t="n">
        <v>1300</v>
      </c>
      <c r="F47" s="26" t="n">
        <v>1350</v>
      </c>
      <c r="G47" s="26" t="n">
        <v>50</v>
      </c>
      <c r="H47" s="10" t="inlineStr">
        <is>
          <t>✓</t>
        </is>
      </c>
      <c r="I47" s="10" t="inlineStr">
        <is>
          <t>·</t>
        </is>
      </c>
      <c r="J47" s="10" t="inlineStr"/>
    </row>
    <row r="48">
      <c r="A48" s="11" t="inlineStr">
        <is>
          <t>10-306</t>
        </is>
      </c>
      <c r="B48" s="12" t="inlineStr">
        <is>
          <t>1/1.00</t>
        </is>
      </c>
      <c r="C48" s="12" t="inlineStr">
        <is>
          <t>Renovated</t>
        </is>
      </c>
      <c r="D48" s="25" t="n">
        <v>1250</v>
      </c>
      <c r="E48" s="25" t="n">
        <v>1300</v>
      </c>
      <c r="F48" s="25" t="n">
        <v>1350</v>
      </c>
      <c r="G48" s="25" t="n">
        <v>50</v>
      </c>
      <c r="H48" s="12" t="inlineStr">
        <is>
          <t>✓</t>
        </is>
      </c>
      <c r="I48" s="12" t="inlineStr">
        <is>
          <t>·</t>
        </is>
      </c>
      <c r="J48" s="12" t="inlineStr"/>
    </row>
    <row r="49">
      <c r="A49" s="8" t="inlineStr">
        <is>
          <t>10-308</t>
        </is>
      </c>
      <c r="B49" s="10" t="inlineStr">
        <is>
          <t>2/1.00</t>
        </is>
      </c>
      <c r="C49" s="10" t="inlineStr">
        <is>
          <t>Renovated</t>
        </is>
      </c>
      <c r="D49" s="26" t="n">
        <v>1195</v>
      </c>
      <c r="E49" s="26" t="n">
        <v>1500</v>
      </c>
      <c r="F49" s="26" t="n">
        <v>1550</v>
      </c>
      <c r="G49" s="26" t="n">
        <v>50</v>
      </c>
      <c r="H49" s="10" t="inlineStr">
        <is>
          <t>·</t>
        </is>
      </c>
      <c r="I49" s="10" t="inlineStr">
        <is>
          <t>·</t>
        </is>
      </c>
      <c r="J49" s="10" t="inlineStr"/>
    </row>
    <row r="50">
      <c r="A50" s="11" t="inlineStr">
        <is>
          <t>00-101</t>
        </is>
      </c>
      <c r="B50" s="12" t="inlineStr">
        <is>
          <t>2/1.00</t>
        </is>
      </c>
      <c r="C50" s="12" t="inlineStr">
        <is>
          <t>Classic</t>
        </is>
      </c>
      <c r="D50" s="25" t="n">
        <v>1175</v>
      </c>
      <c r="E50" s="25" t="n">
        <v>1200</v>
      </c>
      <c r="F50" s="25" t="n">
        <v>1550</v>
      </c>
      <c r="G50" s="25" t="n">
        <v>350</v>
      </c>
      <c r="H50" s="12" t="inlineStr">
        <is>
          <t>·</t>
        </is>
      </c>
      <c r="I50" s="12" t="inlineStr">
        <is>
          <t>·</t>
        </is>
      </c>
      <c r="J50" s="12" t="inlineStr"/>
    </row>
    <row r="51">
      <c r="A51" s="8" t="inlineStr">
        <is>
          <t>00-105</t>
        </is>
      </c>
      <c r="B51" s="10" t="inlineStr">
        <is>
          <t>1/1.00</t>
        </is>
      </c>
      <c r="C51" s="10" t="inlineStr">
        <is>
          <t>Classic</t>
        </is>
      </c>
      <c r="D51" s="26" t="n">
        <v>1265</v>
      </c>
      <c r="E51" s="26" t="n">
        <v>1265</v>
      </c>
      <c r="F51" s="26" t="n">
        <v>1350</v>
      </c>
      <c r="G51" s="26" t="n">
        <v>85</v>
      </c>
      <c r="H51" s="10" t="inlineStr">
        <is>
          <t>·</t>
        </is>
      </c>
      <c r="I51" s="10" t="inlineStr">
        <is>
          <t>·</t>
        </is>
      </c>
      <c r="J51" s="10" t="inlineStr"/>
    </row>
    <row r="52">
      <c r="A52" s="11" t="inlineStr">
        <is>
          <t>00-106</t>
        </is>
      </c>
      <c r="B52" s="12" t="inlineStr">
        <is>
          <t>1/1.00</t>
        </is>
      </c>
      <c r="C52" s="12" t="inlineStr">
        <is>
          <t>Classic</t>
        </is>
      </c>
      <c r="D52" s="25" t="n">
        <v>1275</v>
      </c>
      <c r="E52" s="25" t="n">
        <v>1250</v>
      </c>
      <c r="F52" s="25" t="n">
        <v>1350</v>
      </c>
      <c r="G52" s="25" t="n">
        <v>100</v>
      </c>
      <c r="H52" s="12" t="inlineStr">
        <is>
          <t>·</t>
        </is>
      </c>
      <c r="I52" s="12" t="inlineStr">
        <is>
          <t>·</t>
        </is>
      </c>
      <c r="J52" s="12" t="inlineStr"/>
    </row>
    <row r="53">
      <c r="A53" s="8" t="inlineStr">
        <is>
          <t>00-107</t>
        </is>
      </c>
      <c r="B53" s="10" t="inlineStr">
        <is>
          <t>2/1.00</t>
        </is>
      </c>
      <c r="C53" s="10" t="inlineStr">
        <is>
          <t>Classic</t>
        </is>
      </c>
      <c r="D53" s="26" t="n">
        <v>1000</v>
      </c>
      <c r="E53" s="26" t="n">
        <v>1000</v>
      </c>
      <c r="F53" s="26" t="n">
        <v>1550</v>
      </c>
      <c r="G53" s="26" t="n">
        <v>550</v>
      </c>
      <c r="H53" s="10" t="inlineStr">
        <is>
          <t>·</t>
        </is>
      </c>
      <c r="I53" s="10" t="inlineStr">
        <is>
          <t>·</t>
        </is>
      </c>
      <c r="J53" s="10" t="inlineStr"/>
    </row>
    <row r="54">
      <c r="A54" s="11" t="inlineStr">
        <is>
          <t>00-201</t>
        </is>
      </c>
      <c r="B54" s="12" t="inlineStr">
        <is>
          <t>2/1.00</t>
        </is>
      </c>
      <c r="C54" s="12" t="inlineStr">
        <is>
          <t>Classic</t>
        </is>
      </c>
      <c r="D54" s="25" t="n">
        <v>1250</v>
      </c>
      <c r="E54" s="25" t="n">
        <v>1275</v>
      </c>
      <c r="F54" s="25" t="n">
        <v>1550</v>
      </c>
      <c r="G54" s="25" t="n">
        <v>275</v>
      </c>
      <c r="H54" s="12" t="inlineStr">
        <is>
          <t>·</t>
        </is>
      </c>
      <c r="I54" s="12" t="inlineStr">
        <is>
          <t>·</t>
        </is>
      </c>
      <c r="J54" s="12" t="inlineStr"/>
    </row>
    <row r="55">
      <c r="A55" s="8" t="inlineStr">
        <is>
          <t>00-203</t>
        </is>
      </c>
      <c r="B55" s="10" t="inlineStr">
        <is>
          <t>1/1.00</t>
        </is>
      </c>
      <c r="C55" s="10" t="inlineStr">
        <is>
          <t>Classic</t>
        </is>
      </c>
      <c r="D55" s="26" t="n">
        <v>1275</v>
      </c>
      <c r="E55" s="26" t="n">
        <v>1275</v>
      </c>
      <c r="F55" s="26" t="n">
        <v>1350</v>
      </c>
      <c r="G55" s="26" t="n">
        <v>75</v>
      </c>
      <c r="H55" s="10" t="inlineStr">
        <is>
          <t>·</t>
        </is>
      </c>
      <c r="I55" s="10" t="inlineStr">
        <is>
          <t>·</t>
        </is>
      </c>
      <c r="J55" s="10" t="inlineStr"/>
    </row>
    <row r="56">
      <c r="A56" s="11" t="inlineStr">
        <is>
          <t>00-204</t>
        </is>
      </c>
      <c r="B56" s="12" t="inlineStr">
        <is>
          <t>1/1.00</t>
        </is>
      </c>
      <c r="C56" s="12" t="inlineStr">
        <is>
          <t>Classic</t>
        </is>
      </c>
      <c r="D56" s="25" t="n">
        <v>1040</v>
      </c>
      <c r="E56" s="25" t="n">
        <v>1090</v>
      </c>
      <c r="F56" s="25" t="n">
        <v>1350</v>
      </c>
      <c r="G56" s="25" t="n">
        <v>260</v>
      </c>
      <c r="H56" s="12" t="inlineStr">
        <is>
          <t>·</t>
        </is>
      </c>
      <c r="I56" s="12" t="inlineStr">
        <is>
          <t>·</t>
        </is>
      </c>
      <c r="J56" s="12" t="inlineStr"/>
    </row>
    <row r="57">
      <c r="A57" s="8" t="inlineStr">
        <is>
          <t>00-205</t>
        </is>
      </c>
      <c r="B57" s="10" t="inlineStr">
        <is>
          <t>1/1.00</t>
        </is>
      </c>
      <c r="C57" s="10" t="inlineStr">
        <is>
          <t>Classic</t>
        </is>
      </c>
      <c r="D57" s="26" t="n">
        <v>1060</v>
      </c>
      <c r="E57" s="26" t="n">
        <v>1115</v>
      </c>
      <c r="F57" s="26" t="n">
        <v>1350</v>
      </c>
      <c r="G57" s="26" t="n">
        <v>235</v>
      </c>
      <c r="H57" s="10" t="inlineStr">
        <is>
          <t>·</t>
        </is>
      </c>
      <c r="I57" s="10" t="inlineStr">
        <is>
          <t>·</t>
        </is>
      </c>
      <c r="J57" s="10" t="inlineStr"/>
    </row>
    <row r="58">
      <c r="A58" s="11" t="inlineStr">
        <is>
          <t>00-206</t>
        </is>
      </c>
      <c r="B58" s="12" t="inlineStr">
        <is>
          <t>1/1.00</t>
        </is>
      </c>
      <c r="C58" s="12" t="inlineStr">
        <is>
          <t>Classic</t>
        </is>
      </c>
      <c r="D58" s="25" t="n">
        <v>1250</v>
      </c>
      <c r="E58" s="25" t="n">
        <v>1250</v>
      </c>
      <c r="F58" s="25" t="n">
        <v>1350</v>
      </c>
      <c r="G58" s="25" t="n">
        <v>100</v>
      </c>
      <c r="H58" s="12" t="inlineStr">
        <is>
          <t>·</t>
        </is>
      </c>
      <c r="I58" s="12" t="inlineStr">
        <is>
          <t>·</t>
        </is>
      </c>
      <c r="J58" s="12" t="inlineStr"/>
    </row>
    <row r="59">
      <c r="A59" s="8" t="inlineStr">
        <is>
          <t>00-303</t>
        </is>
      </c>
      <c r="B59" s="10" t="inlineStr">
        <is>
          <t>1/1.00</t>
        </is>
      </c>
      <c r="C59" s="10" t="inlineStr">
        <is>
          <t>Classic</t>
        </is>
      </c>
      <c r="D59" s="26" t="n">
        <v>1250</v>
      </c>
      <c r="E59" s="26" t="n">
        <v>1250</v>
      </c>
      <c r="F59" s="26" t="n">
        <v>1350</v>
      </c>
      <c r="G59" s="26" t="n">
        <v>100</v>
      </c>
      <c r="H59" s="10" t="inlineStr">
        <is>
          <t>·</t>
        </is>
      </c>
      <c r="I59" s="10" t="inlineStr">
        <is>
          <t>·</t>
        </is>
      </c>
      <c r="J59" s="10" t="inlineStr"/>
    </row>
    <row r="60">
      <c r="A60" s="11" t="inlineStr">
        <is>
          <t>00-304</t>
        </is>
      </c>
      <c r="B60" s="12" t="inlineStr">
        <is>
          <t>1/1.00</t>
        </is>
      </c>
      <c r="C60" s="12" t="inlineStr">
        <is>
          <t>Classic</t>
        </is>
      </c>
      <c r="D60" s="25" t="n">
        <v>1150</v>
      </c>
      <c r="E60" s="25" t="n">
        <v>1250</v>
      </c>
      <c r="F60" s="25" t="n">
        <v>1350</v>
      </c>
      <c r="G60" s="25" t="n">
        <v>100</v>
      </c>
      <c r="H60" s="12" t="inlineStr">
        <is>
          <t>·</t>
        </is>
      </c>
      <c r="I60" s="12" t="inlineStr">
        <is>
          <t>·</t>
        </is>
      </c>
      <c r="J60" s="12" t="inlineStr"/>
    </row>
    <row r="61">
      <c r="A61" s="8" t="inlineStr">
        <is>
          <t>00-305</t>
        </is>
      </c>
      <c r="B61" s="10" t="inlineStr">
        <is>
          <t>1/1.00</t>
        </is>
      </c>
      <c r="C61" s="10" t="inlineStr">
        <is>
          <t>Classic</t>
        </is>
      </c>
      <c r="D61" s="26" t="n">
        <v>1295</v>
      </c>
      <c r="E61" s="26" t="n">
        <v>1295</v>
      </c>
      <c r="F61" s="26" t="n">
        <v>1350</v>
      </c>
      <c r="G61" s="26" t="n">
        <v>55</v>
      </c>
      <c r="H61" s="10" t="inlineStr">
        <is>
          <t>·</t>
        </is>
      </c>
      <c r="I61" s="10" t="inlineStr">
        <is>
          <t>·</t>
        </is>
      </c>
      <c r="J61" s="10" t="inlineStr"/>
    </row>
    <row r="62">
      <c r="A62" s="11" t="inlineStr">
        <is>
          <t>00-307</t>
        </is>
      </c>
      <c r="B62" s="12" t="inlineStr">
        <is>
          <t>2/1.00</t>
        </is>
      </c>
      <c r="C62" s="12" t="inlineStr">
        <is>
          <t>Classic</t>
        </is>
      </c>
      <c r="D62" s="25" t="n">
        <v>1350</v>
      </c>
      <c r="E62" s="25" t="n">
        <v>1400</v>
      </c>
      <c r="F62" s="25" t="n">
        <v>1550</v>
      </c>
      <c r="G62" s="25" t="n">
        <v>150</v>
      </c>
      <c r="H62" s="12" t="inlineStr">
        <is>
          <t>·</t>
        </is>
      </c>
      <c r="I62" s="12" t="inlineStr">
        <is>
          <t>·</t>
        </is>
      </c>
      <c r="J62" s="12" t="inlineStr"/>
    </row>
    <row r="63">
      <c r="A63" s="8" t="inlineStr">
        <is>
          <t>00-308</t>
        </is>
      </c>
      <c r="B63" s="10" t="inlineStr">
        <is>
          <t>2/1.00</t>
        </is>
      </c>
      <c r="C63" s="10" t="inlineStr">
        <is>
          <t>Classic</t>
        </is>
      </c>
      <c r="D63" s="26" t="n">
        <v>1350</v>
      </c>
      <c r="E63" s="26" t="n">
        <v>1400</v>
      </c>
      <c r="F63" s="26" t="n">
        <v>1550</v>
      </c>
      <c r="G63" s="26" t="n">
        <v>150</v>
      </c>
      <c r="H63" s="10" t="inlineStr">
        <is>
          <t>·</t>
        </is>
      </c>
      <c r="I63" s="10" t="inlineStr">
        <is>
          <t>·</t>
        </is>
      </c>
      <c r="J63" s="10" t="inlineStr"/>
    </row>
    <row r="64">
      <c r="A64" s="11" t="inlineStr">
        <is>
          <t>04-103</t>
        </is>
      </c>
      <c r="B64" s="12" t="inlineStr">
        <is>
          <t>1/1.00</t>
        </is>
      </c>
      <c r="C64" s="12" t="inlineStr">
        <is>
          <t>Classic</t>
        </is>
      </c>
      <c r="D64" s="25" t="n">
        <v>1090</v>
      </c>
      <c r="E64" s="25" t="n">
        <v>1145</v>
      </c>
      <c r="F64" s="25" t="n">
        <v>1350</v>
      </c>
      <c r="G64" s="25" t="n">
        <v>205</v>
      </c>
      <c r="H64" s="12" t="inlineStr">
        <is>
          <t>·</t>
        </is>
      </c>
      <c r="I64" s="12" t="inlineStr">
        <is>
          <t>·</t>
        </is>
      </c>
      <c r="J64" s="12" t="inlineStr"/>
    </row>
    <row r="65">
      <c r="A65" s="8" t="inlineStr">
        <is>
          <t>04-104</t>
        </is>
      </c>
      <c r="B65" s="10" t="inlineStr">
        <is>
          <t>1/1.00</t>
        </is>
      </c>
      <c r="C65" s="10" t="inlineStr">
        <is>
          <t>Classic</t>
        </is>
      </c>
      <c r="D65" s="26" t="n">
        <v>1175</v>
      </c>
      <c r="E65" s="26" t="n">
        <v>1250</v>
      </c>
      <c r="F65" s="26" t="n">
        <v>1350</v>
      </c>
      <c r="G65" s="26" t="n">
        <v>100</v>
      </c>
      <c r="H65" s="10" t="inlineStr">
        <is>
          <t>·</t>
        </is>
      </c>
      <c r="I65" s="10" t="inlineStr">
        <is>
          <t>·</t>
        </is>
      </c>
      <c r="J65" s="10" t="inlineStr"/>
    </row>
    <row r="66">
      <c r="A66" s="11" t="inlineStr">
        <is>
          <t>04-105</t>
        </is>
      </c>
      <c r="B66" s="12" t="inlineStr">
        <is>
          <t>1/1.00</t>
        </is>
      </c>
      <c r="C66" s="12" t="inlineStr">
        <is>
          <t>Classic</t>
        </is>
      </c>
      <c r="D66" s="25" t="n">
        <v>1225</v>
      </c>
      <c r="E66" s="25" t="n">
        <v>1250</v>
      </c>
      <c r="F66" s="25" t="n">
        <v>1350</v>
      </c>
      <c r="G66" s="25" t="n">
        <v>100</v>
      </c>
      <c r="H66" s="12" t="inlineStr">
        <is>
          <t>·</t>
        </is>
      </c>
      <c r="I66" s="12" t="inlineStr">
        <is>
          <t>·</t>
        </is>
      </c>
      <c r="J66" s="12" t="inlineStr"/>
    </row>
    <row r="67">
      <c r="A67" s="8" t="inlineStr">
        <is>
          <t>04-107</t>
        </is>
      </c>
      <c r="B67" s="10" t="inlineStr">
        <is>
          <t>2/1.00</t>
        </is>
      </c>
      <c r="C67" s="10" t="inlineStr">
        <is>
          <t>Classic</t>
        </is>
      </c>
      <c r="D67" s="26" t="n">
        <v>1175</v>
      </c>
      <c r="E67" s="26" t="n">
        <v>1250</v>
      </c>
      <c r="F67" s="26" t="n">
        <v>1550</v>
      </c>
      <c r="G67" s="26" t="n">
        <v>300</v>
      </c>
      <c r="H67" s="10" t="inlineStr">
        <is>
          <t>·</t>
        </is>
      </c>
      <c r="I67" s="10" t="inlineStr">
        <is>
          <t>·</t>
        </is>
      </c>
      <c r="J67" s="10" t="inlineStr"/>
    </row>
    <row r="68">
      <c r="A68" s="11" t="inlineStr">
        <is>
          <t>04-108</t>
        </is>
      </c>
      <c r="B68" s="12" t="inlineStr">
        <is>
          <t>2/1.00</t>
        </is>
      </c>
      <c r="C68" s="12" t="inlineStr">
        <is>
          <t>Classic</t>
        </is>
      </c>
      <c r="D68" s="25" t="n">
        <v>1175</v>
      </c>
      <c r="E68" s="25" t="n">
        <v>1200</v>
      </c>
      <c r="F68" s="25" t="n">
        <v>1550</v>
      </c>
      <c r="G68" s="25" t="n">
        <v>350</v>
      </c>
      <c r="H68" s="12" t="inlineStr">
        <is>
          <t>·</t>
        </is>
      </c>
      <c r="I68" s="12" t="inlineStr">
        <is>
          <t>·</t>
        </is>
      </c>
      <c r="J68" s="12" t="inlineStr"/>
    </row>
    <row r="69">
      <c r="A69" s="8" t="inlineStr">
        <is>
          <t>04-202</t>
        </is>
      </c>
      <c r="B69" s="10" t="inlineStr">
        <is>
          <t>2/1.00</t>
        </is>
      </c>
      <c r="C69" s="10" t="inlineStr">
        <is>
          <t>Unknown</t>
        </is>
      </c>
      <c r="D69" s="26" t="n">
        <v>1275</v>
      </c>
      <c r="E69" s="26" t="n">
        <v>1500</v>
      </c>
      <c r="F69" s="26" t="n">
        <v>1550</v>
      </c>
      <c r="G69" s="26" t="n">
        <v>50</v>
      </c>
      <c r="H69" s="10" t="inlineStr">
        <is>
          <t>·</t>
        </is>
      </c>
      <c r="I69" s="10" t="inlineStr">
        <is>
          <t>·</t>
        </is>
      </c>
      <c r="J69" s="10" t="inlineStr"/>
    </row>
    <row r="70">
      <c r="A70" s="11" t="inlineStr">
        <is>
          <t>04-206</t>
        </is>
      </c>
      <c r="B70" s="12" t="inlineStr">
        <is>
          <t>1/1.00</t>
        </is>
      </c>
      <c r="C70" s="12" t="inlineStr">
        <is>
          <t>Classic</t>
        </is>
      </c>
      <c r="D70" s="25" t="n">
        <v>1090</v>
      </c>
      <c r="E70" s="25" t="n">
        <v>1140</v>
      </c>
      <c r="F70" s="25" t="n">
        <v>1350</v>
      </c>
      <c r="G70" s="25" t="n">
        <v>210</v>
      </c>
      <c r="H70" s="12" t="inlineStr">
        <is>
          <t>·</t>
        </is>
      </c>
      <c r="I70" s="12" t="inlineStr">
        <is>
          <t>·</t>
        </is>
      </c>
      <c r="J70" s="12" t="inlineStr"/>
    </row>
    <row r="71">
      <c r="A71" s="8" t="inlineStr">
        <is>
          <t>04-207</t>
        </is>
      </c>
      <c r="B71" s="10" t="inlineStr">
        <is>
          <t>2/1.00</t>
        </is>
      </c>
      <c r="C71" s="10" t="inlineStr">
        <is>
          <t>Classic</t>
        </is>
      </c>
      <c r="D71" s="26" t="n">
        <v>1000</v>
      </c>
      <c r="E71" s="26" t="n">
        <v>1000</v>
      </c>
      <c r="F71" s="26" t="n">
        <v>1550</v>
      </c>
      <c r="G71" s="26" t="n">
        <v>550</v>
      </c>
      <c r="H71" s="10" t="inlineStr">
        <is>
          <t>·</t>
        </is>
      </c>
      <c r="I71" s="10" t="inlineStr">
        <is>
          <t>·</t>
        </is>
      </c>
      <c r="J71" s="10" t="inlineStr"/>
    </row>
    <row r="72">
      <c r="A72" s="11" t="inlineStr">
        <is>
          <t>04-301</t>
        </is>
      </c>
      <c r="B72" s="12" t="inlineStr">
        <is>
          <t>2/1.00</t>
        </is>
      </c>
      <c r="C72" s="12" t="inlineStr">
        <is>
          <t>Classic</t>
        </is>
      </c>
      <c r="D72" s="25" t="n">
        <v>1290</v>
      </c>
      <c r="E72" s="25" t="n">
        <v>1365</v>
      </c>
      <c r="F72" s="25" t="n">
        <v>1550</v>
      </c>
      <c r="G72" s="25" t="n">
        <v>185</v>
      </c>
      <c r="H72" s="12" t="inlineStr">
        <is>
          <t>·</t>
        </is>
      </c>
      <c r="I72" s="12" t="inlineStr">
        <is>
          <t>·</t>
        </is>
      </c>
      <c r="J72" s="12" t="inlineStr"/>
    </row>
    <row r="73">
      <c r="A73" s="8" t="inlineStr">
        <is>
          <t>04-302</t>
        </is>
      </c>
      <c r="B73" s="10" t="inlineStr">
        <is>
          <t>2/1.00</t>
        </is>
      </c>
      <c r="C73" s="10" t="inlineStr">
        <is>
          <t>Classic</t>
        </is>
      </c>
      <c r="D73" s="26" t="n">
        <v>1175</v>
      </c>
      <c r="E73" s="26" t="n">
        <v>1225</v>
      </c>
      <c r="F73" s="26" t="n">
        <v>1550</v>
      </c>
      <c r="G73" s="26" t="n">
        <v>325</v>
      </c>
      <c r="H73" s="10" t="inlineStr">
        <is>
          <t>·</t>
        </is>
      </c>
      <c r="I73" s="10" t="inlineStr">
        <is>
          <t>·</t>
        </is>
      </c>
      <c r="J73" s="10" t="inlineStr"/>
    </row>
    <row r="74">
      <c r="A74" s="11" t="inlineStr">
        <is>
          <t>04-303</t>
        </is>
      </c>
      <c r="B74" s="12" t="inlineStr">
        <is>
          <t>1/1.00</t>
        </is>
      </c>
      <c r="C74" s="12" t="inlineStr">
        <is>
          <t>Classic</t>
        </is>
      </c>
      <c r="D74" s="25" t="inlineStr"/>
      <c r="E74" s="25" t="n">
        <v>1250</v>
      </c>
      <c r="F74" s="25" t="n">
        <v>1350</v>
      </c>
      <c r="G74" s="25" t="n">
        <v>100</v>
      </c>
      <c r="H74" s="12" t="inlineStr">
        <is>
          <t>·</t>
        </is>
      </c>
      <c r="I74" s="12" t="inlineStr">
        <is>
          <t>·</t>
        </is>
      </c>
      <c r="J74" s="12" t="inlineStr"/>
    </row>
    <row r="75">
      <c r="A75" s="8" t="inlineStr">
        <is>
          <t>04-305</t>
        </is>
      </c>
      <c r="B75" s="10" t="inlineStr">
        <is>
          <t>1/1.00</t>
        </is>
      </c>
      <c r="C75" s="10" t="inlineStr">
        <is>
          <t>Classic</t>
        </is>
      </c>
      <c r="D75" s="26" t="n">
        <v>1250</v>
      </c>
      <c r="E75" s="26" t="n">
        <v>1250</v>
      </c>
      <c r="F75" s="26" t="n">
        <v>1350</v>
      </c>
      <c r="G75" s="26" t="n">
        <v>100</v>
      </c>
      <c r="H75" s="10" t="inlineStr">
        <is>
          <t>·</t>
        </is>
      </c>
      <c r="I75" s="10" t="inlineStr">
        <is>
          <t>·</t>
        </is>
      </c>
      <c r="J75" s="10" t="inlineStr"/>
    </row>
    <row r="76">
      <c r="A76" s="11" t="inlineStr">
        <is>
          <t>04-306</t>
        </is>
      </c>
      <c r="B76" s="12" t="inlineStr">
        <is>
          <t>1/1.00</t>
        </is>
      </c>
      <c r="C76" s="12" t="inlineStr">
        <is>
          <t>Unknown</t>
        </is>
      </c>
      <c r="D76" s="25" t="n">
        <v>1200</v>
      </c>
      <c r="E76" s="25" t="inlineStr"/>
      <c r="F76" s="25" t="n">
        <v>1350</v>
      </c>
      <c r="G76" s="25" t="n">
        <v>1350</v>
      </c>
      <c r="H76" s="12" t="inlineStr">
        <is>
          <t>·</t>
        </is>
      </c>
      <c r="I76" s="12" t="inlineStr">
        <is>
          <t>·</t>
        </is>
      </c>
      <c r="J76" s="12" t="inlineStr"/>
    </row>
    <row r="77">
      <c r="A77" s="8" t="inlineStr">
        <is>
          <t>04-307</t>
        </is>
      </c>
      <c r="B77" s="10" t="inlineStr">
        <is>
          <t>2/1.00</t>
        </is>
      </c>
      <c r="C77" s="10" t="inlineStr">
        <is>
          <t>Classic</t>
        </is>
      </c>
      <c r="D77" s="26" t="n">
        <v>1350</v>
      </c>
      <c r="E77" s="26" t="n">
        <v>1350</v>
      </c>
      <c r="F77" s="26" t="n">
        <v>1550</v>
      </c>
      <c r="G77" s="26" t="n">
        <v>200</v>
      </c>
      <c r="H77" s="10" t="inlineStr">
        <is>
          <t>·</t>
        </is>
      </c>
      <c r="I77" s="10" t="inlineStr">
        <is>
          <t>·</t>
        </is>
      </c>
      <c r="J77" s="10" t="inlineStr"/>
    </row>
    <row r="78">
      <c r="A78" s="11" t="inlineStr">
        <is>
          <t>06-101</t>
        </is>
      </c>
      <c r="B78" s="12" t="inlineStr">
        <is>
          <t>2/1.00</t>
        </is>
      </c>
      <c r="C78" s="12" t="inlineStr">
        <is>
          <t>Classic</t>
        </is>
      </c>
      <c r="D78" s="25" t="n">
        <v>1290</v>
      </c>
      <c r="E78" s="25" t="n">
        <v>1335</v>
      </c>
      <c r="F78" s="25" t="n">
        <v>1550</v>
      </c>
      <c r="G78" s="25" t="n">
        <v>215</v>
      </c>
      <c r="H78" s="12" t="inlineStr">
        <is>
          <t>·</t>
        </is>
      </c>
      <c r="I78" s="12" t="inlineStr">
        <is>
          <t>·</t>
        </is>
      </c>
      <c r="J78" s="12" t="inlineStr"/>
    </row>
    <row r="79">
      <c r="A79" s="8" t="inlineStr">
        <is>
          <t>06-102</t>
        </is>
      </c>
      <c r="B79" s="10" t="inlineStr">
        <is>
          <t>2/1.00</t>
        </is>
      </c>
      <c r="C79" s="10" t="inlineStr">
        <is>
          <t>Classic</t>
        </is>
      </c>
      <c r="D79" s="26" t="n">
        <v>1310</v>
      </c>
      <c r="E79" s="26" t="n">
        <v>1375</v>
      </c>
      <c r="F79" s="26" t="n">
        <v>1550</v>
      </c>
      <c r="G79" s="26" t="n">
        <v>175</v>
      </c>
      <c r="H79" s="10" t="inlineStr">
        <is>
          <t>·</t>
        </is>
      </c>
      <c r="I79" s="10" t="inlineStr">
        <is>
          <t>·</t>
        </is>
      </c>
      <c r="J79" s="10" t="inlineStr"/>
    </row>
    <row r="80">
      <c r="A80" s="11" t="inlineStr">
        <is>
          <t>06-104</t>
        </is>
      </c>
      <c r="B80" s="12" t="inlineStr">
        <is>
          <t>1/1.00</t>
        </is>
      </c>
      <c r="C80" s="12" t="inlineStr">
        <is>
          <t>Classic</t>
        </is>
      </c>
      <c r="D80" s="25" t="n">
        <v>1250</v>
      </c>
      <c r="E80" s="25" t="n">
        <v>1275</v>
      </c>
      <c r="F80" s="25" t="n">
        <v>1350</v>
      </c>
      <c r="G80" s="25" t="n">
        <v>75</v>
      </c>
      <c r="H80" s="12" t="inlineStr">
        <is>
          <t>·</t>
        </is>
      </c>
      <c r="I80" s="12" t="inlineStr">
        <is>
          <t>·</t>
        </is>
      </c>
      <c r="J80" s="12" t="inlineStr"/>
    </row>
    <row r="81">
      <c r="A81" s="8" t="inlineStr">
        <is>
          <t>06-105</t>
        </is>
      </c>
      <c r="B81" s="10" t="inlineStr">
        <is>
          <t>1/1.00</t>
        </is>
      </c>
      <c r="C81" s="10" t="inlineStr">
        <is>
          <t>Classic</t>
        </is>
      </c>
      <c r="D81" s="26" t="n">
        <v>1090</v>
      </c>
      <c r="E81" s="26" t="n">
        <v>1150</v>
      </c>
      <c r="F81" s="26" t="n">
        <v>1350</v>
      </c>
      <c r="G81" s="26" t="n">
        <v>200</v>
      </c>
      <c r="H81" s="10" t="inlineStr">
        <is>
          <t>·</t>
        </is>
      </c>
      <c r="I81" s="10" t="inlineStr">
        <is>
          <t>·</t>
        </is>
      </c>
      <c r="J81" s="10" t="inlineStr"/>
    </row>
    <row r="82">
      <c r="A82" s="11" t="inlineStr">
        <is>
          <t>06-106</t>
        </is>
      </c>
      <c r="B82" s="12" t="inlineStr">
        <is>
          <t>1/1.00</t>
        </is>
      </c>
      <c r="C82" s="12" t="inlineStr">
        <is>
          <t>Unknown</t>
        </is>
      </c>
      <c r="D82" s="25" t="n">
        <v>1300</v>
      </c>
      <c r="E82" s="25" t="n">
        <v>1300</v>
      </c>
      <c r="F82" s="25" t="n">
        <v>1350</v>
      </c>
      <c r="G82" s="25" t="n">
        <v>50</v>
      </c>
      <c r="H82" s="12" t="inlineStr">
        <is>
          <t>·</t>
        </is>
      </c>
      <c r="I82" s="12" t="inlineStr">
        <is>
          <t>·</t>
        </is>
      </c>
      <c r="J82" s="12" t="inlineStr"/>
    </row>
    <row r="83">
      <c r="A83" s="8" t="inlineStr">
        <is>
          <t>06-107</t>
        </is>
      </c>
      <c r="B83" s="10" t="inlineStr">
        <is>
          <t>2/1.00</t>
        </is>
      </c>
      <c r="C83" s="10" t="inlineStr">
        <is>
          <t>Classic</t>
        </is>
      </c>
      <c r="D83" s="26" t="n">
        <v>1300</v>
      </c>
      <c r="E83" s="26" t="n">
        <v>1405</v>
      </c>
      <c r="F83" s="26" t="n">
        <v>1550</v>
      </c>
      <c r="G83" s="26" t="n">
        <v>145</v>
      </c>
      <c r="H83" s="10" t="inlineStr">
        <is>
          <t>·</t>
        </is>
      </c>
      <c r="I83" s="10" t="inlineStr">
        <is>
          <t>·</t>
        </is>
      </c>
      <c r="J83" s="10" t="inlineStr"/>
    </row>
    <row r="84">
      <c r="A84" s="11" t="inlineStr">
        <is>
          <t>06-108</t>
        </is>
      </c>
      <c r="B84" s="12" t="inlineStr">
        <is>
          <t>2/1.00</t>
        </is>
      </c>
      <c r="C84" s="12" t="inlineStr">
        <is>
          <t>Classic</t>
        </is>
      </c>
      <c r="D84" s="25" t="n">
        <v>1290</v>
      </c>
      <c r="E84" s="25" t="n">
        <v>1350</v>
      </c>
      <c r="F84" s="25" t="n">
        <v>1550</v>
      </c>
      <c r="G84" s="25" t="n">
        <v>200</v>
      </c>
      <c r="H84" s="12" t="inlineStr">
        <is>
          <t>·</t>
        </is>
      </c>
      <c r="I84" s="12" t="inlineStr">
        <is>
          <t>·</t>
        </is>
      </c>
      <c r="J84" s="12" t="inlineStr"/>
    </row>
    <row r="85">
      <c r="A85" s="8" t="inlineStr">
        <is>
          <t>06-203</t>
        </is>
      </c>
      <c r="B85" s="10" t="inlineStr">
        <is>
          <t>1/1.00</t>
        </is>
      </c>
      <c r="C85" s="10" t="inlineStr">
        <is>
          <t>Classic</t>
        </is>
      </c>
      <c r="D85" s="26" t="n">
        <v>1275</v>
      </c>
      <c r="E85" s="26" t="n">
        <v>1275</v>
      </c>
      <c r="F85" s="26" t="n">
        <v>1350</v>
      </c>
      <c r="G85" s="26" t="n">
        <v>75</v>
      </c>
      <c r="H85" s="10" t="inlineStr">
        <is>
          <t>·</t>
        </is>
      </c>
      <c r="I85" s="10" t="inlineStr">
        <is>
          <t>·</t>
        </is>
      </c>
      <c r="J85" s="10" t="inlineStr"/>
    </row>
    <row r="86">
      <c r="A86" s="11" t="inlineStr">
        <is>
          <t>06-205</t>
        </is>
      </c>
      <c r="B86" s="12" t="inlineStr">
        <is>
          <t>1/1.00</t>
        </is>
      </c>
      <c r="C86" s="12" t="inlineStr">
        <is>
          <t>Classic</t>
        </is>
      </c>
      <c r="D86" s="25" t="inlineStr"/>
      <c r="E86" s="25" t="n">
        <v>1050</v>
      </c>
      <c r="F86" s="25" t="n">
        <v>1350</v>
      </c>
      <c r="G86" s="25" t="n">
        <v>300</v>
      </c>
      <c r="H86" s="12" t="inlineStr">
        <is>
          <t>·</t>
        </is>
      </c>
      <c r="I86" s="12" t="inlineStr">
        <is>
          <t>·</t>
        </is>
      </c>
      <c r="J86" s="12" t="inlineStr"/>
    </row>
    <row r="87">
      <c r="A87" s="8" t="inlineStr">
        <is>
          <t>06-206</t>
        </is>
      </c>
      <c r="B87" s="10" t="inlineStr">
        <is>
          <t>1/1.00</t>
        </is>
      </c>
      <c r="C87" s="10" t="inlineStr">
        <is>
          <t>Classic</t>
        </is>
      </c>
      <c r="D87" s="26" t="inlineStr"/>
      <c r="E87" s="26" t="n">
        <v>1250</v>
      </c>
      <c r="F87" s="26" t="n">
        <v>1350</v>
      </c>
      <c r="G87" s="26" t="n">
        <v>100</v>
      </c>
      <c r="H87" s="10" t="inlineStr">
        <is>
          <t>·</t>
        </is>
      </c>
      <c r="I87" s="10" t="inlineStr">
        <is>
          <t>·</t>
        </is>
      </c>
      <c r="J87" s="10" t="inlineStr"/>
    </row>
    <row r="88">
      <c r="A88" s="11" t="inlineStr">
        <is>
          <t>06-208</t>
        </is>
      </c>
      <c r="B88" s="12" t="inlineStr">
        <is>
          <t>2/1.00</t>
        </is>
      </c>
      <c r="C88" s="12" t="inlineStr">
        <is>
          <t>Classic</t>
        </is>
      </c>
      <c r="D88" s="25" t="n">
        <v>1265</v>
      </c>
      <c r="E88" s="25" t="n">
        <v>1315</v>
      </c>
      <c r="F88" s="25" t="n">
        <v>1550</v>
      </c>
      <c r="G88" s="25" t="n">
        <v>235</v>
      </c>
      <c r="H88" s="12" t="inlineStr">
        <is>
          <t>·</t>
        </is>
      </c>
      <c r="I88" s="12" t="inlineStr">
        <is>
          <t>·</t>
        </is>
      </c>
      <c r="J88" s="12" t="inlineStr"/>
    </row>
    <row r="89">
      <c r="A89" s="8" t="inlineStr">
        <is>
          <t>06-301</t>
        </is>
      </c>
      <c r="B89" s="10" t="inlineStr">
        <is>
          <t>2/1.00</t>
        </is>
      </c>
      <c r="C89" s="10" t="inlineStr">
        <is>
          <t>Classic</t>
        </is>
      </c>
      <c r="D89" s="26" t="n">
        <v>1295</v>
      </c>
      <c r="E89" s="26" t="n">
        <v>1350</v>
      </c>
      <c r="F89" s="26" t="n">
        <v>1550</v>
      </c>
      <c r="G89" s="26" t="n">
        <v>200</v>
      </c>
      <c r="H89" s="10" t="inlineStr">
        <is>
          <t>·</t>
        </is>
      </c>
      <c r="I89" s="10" t="inlineStr">
        <is>
          <t>·</t>
        </is>
      </c>
      <c r="J89" s="10" t="inlineStr"/>
    </row>
    <row r="90">
      <c r="A90" s="11" t="inlineStr">
        <is>
          <t>06-306</t>
        </is>
      </c>
      <c r="B90" s="12" t="inlineStr">
        <is>
          <t>1/1.00</t>
        </is>
      </c>
      <c r="C90" s="12" t="inlineStr">
        <is>
          <t>Classic</t>
        </is>
      </c>
      <c r="D90" s="25" t="n">
        <v>1050</v>
      </c>
      <c r="E90" s="25" t="n">
        <v>1100</v>
      </c>
      <c r="F90" s="25" t="n">
        <v>1350</v>
      </c>
      <c r="G90" s="25" t="n">
        <v>250</v>
      </c>
      <c r="H90" s="12" t="inlineStr">
        <is>
          <t>·</t>
        </is>
      </c>
      <c r="I90" s="12" t="inlineStr">
        <is>
          <t>·</t>
        </is>
      </c>
      <c r="J90" s="12" t="inlineStr"/>
    </row>
    <row r="91">
      <c r="A91" s="8" t="inlineStr">
        <is>
          <t>06-307</t>
        </is>
      </c>
      <c r="B91" s="10" t="inlineStr">
        <is>
          <t>2/1.00</t>
        </is>
      </c>
      <c r="C91" s="10" t="inlineStr">
        <is>
          <t>Unknown</t>
        </is>
      </c>
      <c r="D91" s="26" t="n">
        <v>1325</v>
      </c>
      <c r="E91" s="26" t="n">
        <v>1500</v>
      </c>
      <c r="F91" s="26" t="n">
        <v>1550</v>
      </c>
      <c r="G91" s="26" t="n">
        <v>50</v>
      </c>
      <c r="H91" s="10" t="inlineStr">
        <is>
          <t>·</t>
        </is>
      </c>
      <c r="I91" s="10" t="inlineStr">
        <is>
          <t>·</t>
        </is>
      </c>
      <c r="J91" s="10" t="inlineStr"/>
    </row>
    <row r="92">
      <c r="A92" s="11" t="inlineStr">
        <is>
          <t>06-308</t>
        </is>
      </c>
      <c r="B92" s="12" t="inlineStr">
        <is>
          <t>2/1.00</t>
        </is>
      </c>
      <c r="C92" s="12" t="inlineStr">
        <is>
          <t>Classic</t>
        </is>
      </c>
      <c r="D92" s="25" t="n">
        <v>1200</v>
      </c>
      <c r="E92" s="25" t="n">
        <v>1340</v>
      </c>
      <c r="F92" s="25" t="n">
        <v>1550</v>
      </c>
      <c r="G92" s="25" t="n">
        <v>210</v>
      </c>
      <c r="H92" s="12" t="inlineStr">
        <is>
          <t>·</t>
        </is>
      </c>
      <c r="I92" s="12" t="inlineStr">
        <is>
          <t>·</t>
        </is>
      </c>
      <c r="J92" s="12" t="inlineStr"/>
    </row>
    <row r="93">
      <c r="A93" s="8" t="inlineStr">
        <is>
          <t>08-102</t>
        </is>
      </c>
      <c r="B93" s="10" t="inlineStr">
        <is>
          <t>2/1.00</t>
        </is>
      </c>
      <c r="C93" s="10" t="inlineStr">
        <is>
          <t>Classic</t>
        </is>
      </c>
      <c r="D93" s="26" t="n">
        <v>1225</v>
      </c>
      <c r="E93" s="26" t="n">
        <v>1300</v>
      </c>
      <c r="F93" s="26" t="n">
        <v>1550</v>
      </c>
      <c r="G93" s="26" t="n">
        <v>250</v>
      </c>
      <c r="H93" s="10" t="inlineStr">
        <is>
          <t>·</t>
        </is>
      </c>
      <c r="I93" s="10" t="inlineStr">
        <is>
          <t>·</t>
        </is>
      </c>
      <c r="J93" s="10" t="inlineStr"/>
    </row>
    <row r="94">
      <c r="A94" s="11" t="inlineStr">
        <is>
          <t>08-103</t>
        </is>
      </c>
      <c r="B94" s="12" t="inlineStr">
        <is>
          <t>1/1.00</t>
        </is>
      </c>
      <c r="C94" s="12" t="inlineStr">
        <is>
          <t>Classic</t>
        </is>
      </c>
      <c r="D94" s="25" t="inlineStr"/>
      <c r="E94" s="25" t="n">
        <v>1295</v>
      </c>
      <c r="F94" s="25" t="n">
        <v>1350</v>
      </c>
      <c r="G94" s="25" t="n">
        <v>55</v>
      </c>
      <c r="H94" s="12" t="inlineStr">
        <is>
          <t>·</t>
        </is>
      </c>
      <c r="I94" s="12" t="inlineStr">
        <is>
          <t>·</t>
        </is>
      </c>
      <c r="J94" s="12" t="inlineStr"/>
    </row>
    <row r="95">
      <c r="A95" s="8" t="inlineStr">
        <is>
          <t>08-104</t>
        </is>
      </c>
      <c r="B95" s="10" t="inlineStr">
        <is>
          <t>1/1.00</t>
        </is>
      </c>
      <c r="C95" s="10" t="inlineStr">
        <is>
          <t>Classic</t>
        </is>
      </c>
      <c r="D95" s="26" t="n">
        <v>1090</v>
      </c>
      <c r="E95" s="26" t="n">
        <v>1150</v>
      </c>
      <c r="F95" s="26" t="n">
        <v>1350</v>
      </c>
      <c r="G95" s="26" t="n">
        <v>200</v>
      </c>
      <c r="H95" s="10" t="inlineStr">
        <is>
          <t>·</t>
        </is>
      </c>
      <c r="I95" s="10" t="inlineStr">
        <is>
          <t>·</t>
        </is>
      </c>
      <c r="J95" s="10" t="inlineStr"/>
    </row>
    <row r="96">
      <c r="A96" s="11" t="inlineStr">
        <is>
          <t>08-106</t>
        </is>
      </c>
      <c r="B96" s="12" t="inlineStr">
        <is>
          <t>1/1.00</t>
        </is>
      </c>
      <c r="C96" s="12" t="inlineStr">
        <is>
          <t>Classic</t>
        </is>
      </c>
      <c r="D96" s="25" t="inlineStr"/>
      <c r="E96" s="25" t="n">
        <v>1275</v>
      </c>
      <c r="F96" s="25" t="n">
        <v>1350</v>
      </c>
      <c r="G96" s="25" t="n">
        <v>75</v>
      </c>
      <c r="H96" s="12" t="inlineStr">
        <is>
          <t>·</t>
        </is>
      </c>
      <c r="I96" s="12" t="inlineStr">
        <is>
          <t>·</t>
        </is>
      </c>
      <c r="J96" s="12" t="inlineStr"/>
    </row>
    <row r="97">
      <c r="A97" s="8" t="inlineStr">
        <is>
          <t>08-107</t>
        </is>
      </c>
      <c r="B97" s="10" t="inlineStr">
        <is>
          <t>2/1.00</t>
        </is>
      </c>
      <c r="C97" s="10" t="inlineStr">
        <is>
          <t>Classic</t>
        </is>
      </c>
      <c r="D97" s="26" t="n">
        <v>1165</v>
      </c>
      <c r="E97" s="26" t="n">
        <v>1250</v>
      </c>
      <c r="F97" s="26" t="n">
        <v>1550</v>
      </c>
      <c r="G97" s="26" t="n">
        <v>300</v>
      </c>
      <c r="H97" s="10" t="inlineStr">
        <is>
          <t>·</t>
        </is>
      </c>
      <c r="I97" s="10" t="inlineStr">
        <is>
          <t>·</t>
        </is>
      </c>
      <c r="J97" s="10" t="inlineStr"/>
    </row>
    <row r="98">
      <c r="A98" s="11" t="inlineStr">
        <is>
          <t>08-108</t>
        </is>
      </c>
      <c r="B98" s="12" t="inlineStr">
        <is>
          <t>2/1.00</t>
        </is>
      </c>
      <c r="C98" s="12" t="inlineStr">
        <is>
          <t>Classic</t>
        </is>
      </c>
      <c r="D98" s="25" t="n">
        <v>1350</v>
      </c>
      <c r="E98" s="25" t="n">
        <v>1400</v>
      </c>
      <c r="F98" s="25" t="n">
        <v>1550</v>
      </c>
      <c r="G98" s="25" t="n">
        <v>150</v>
      </c>
      <c r="H98" s="12" t="inlineStr">
        <is>
          <t>·</t>
        </is>
      </c>
      <c r="I98" s="12" t="inlineStr">
        <is>
          <t>·</t>
        </is>
      </c>
      <c r="J98" s="12" t="inlineStr"/>
    </row>
    <row r="99">
      <c r="A99" s="8" t="inlineStr">
        <is>
          <t>08-203</t>
        </is>
      </c>
      <c r="B99" s="10" t="inlineStr">
        <is>
          <t>1/1.00</t>
        </is>
      </c>
      <c r="C99" s="10" t="inlineStr">
        <is>
          <t>Unknown</t>
        </is>
      </c>
      <c r="D99" s="26" t="n">
        <v>1020</v>
      </c>
      <c r="E99" s="26" t="inlineStr"/>
      <c r="F99" s="26" t="n">
        <v>1350</v>
      </c>
      <c r="G99" s="26" t="n">
        <v>1350</v>
      </c>
      <c r="H99" s="10" t="inlineStr">
        <is>
          <t>·</t>
        </is>
      </c>
      <c r="I99" s="10" t="inlineStr">
        <is>
          <t>·</t>
        </is>
      </c>
      <c r="J99" s="10" t="inlineStr"/>
    </row>
    <row r="100">
      <c r="A100" s="11" t="inlineStr">
        <is>
          <t>08-204</t>
        </is>
      </c>
      <c r="B100" s="12" t="inlineStr">
        <is>
          <t>1/1.00</t>
        </is>
      </c>
      <c r="C100" s="12" t="inlineStr">
        <is>
          <t>Classic</t>
        </is>
      </c>
      <c r="D100" s="25" t="n">
        <v>1275</v>
      </c>
      <c r="E100" s="25" t="n">
        <v>1275</v>
      </c>
      <c r="F100" s="25" t="n">
        <v>1350</v>
      </c>
      <c r="G100" s="25" t="n">
        <v>75</v>
      </c>
      <c r="H100" s="12" t="inlineStr">
        <is>
          <t>·</t>
        </is>
      </c>
      <c r="I100" s="12" t="inlineStr">
        <is>
          <t>·</t>
        </is>
      </c>
      <c r="J100" s="12" t="inlineStr"/>
    </row>
    <row r="101">
      <c r="A101" s="8" t="inlineStr">
        <is>
          <t>08-205</t>
        </is>
      </c>
      <c r="B101" s="10" t="inlineStr">
        <is>
          <t>1/1.00</t>
        </is>
      </c>
      <c r="C101" s="10" t="inlineStr">
        <is>
          <t>Unknown</t>
        </is>
      </c>
      <c r="D101" s="26" t="n">
        <v>1150</v>
      </c>
      <c r="E101" s="26" t="n">
        <v>1225</v>
      </c>
      <c r="F101" s="26" t="n">
        <v>1350</v>
      </c>
      <c r="G101" s="26" t="n">
        <v>125</v>
      </c>
      <c r="H101" s="10" t="inlineStr">
        <is>
          <t>·</t>
        </is>
      </c>
      <c r="I101" s="10" t="inlineStr">
        <is>
          <t>·</t>
        </is>
      </c>
      <c r="J101" s="10" t="inlineStr"/>
    </row>
    <row r="102">
      <c r="A102" s="11" t="inlineStr">
        <is>
          <t>08-206</t>
        </is>
      </c>
      <c r="B102" s="12" t="inlineStr">
        <is>
          <t>1/1.00</t>
        </is>
      </c>
      <c r="C102" s="12" t="inlineStr">
        <is>
          <t>Classic</t>
        </is>
      </c>
      <c r="D102" s="25" t="n">
        <v>1125</v>
      </c>
      <c r="E102" s="25" t="n">
        <v>1165</v>
      </c>
      <c r="F102" s="25" t="n">
        <v>1350</v>
      </c>
      <c r="G102" s="25" t="n">
        <v>185</v>
      </c>
      <c r="H102" s="12" t="inlineStr">
        <is>
          <t>·</t>
        </is>
      </c>
      <c r="I102" s="12" t="inlineStr">
        <is>
          <t>·</t>
        </is>
      </c>
      <c r="J102" s="12" t="inlineStr"/>
    </row>
    <row r="103">
      <c r="A103" s="8" t="inlineStr">
        <is>
          <t>08-301</t>
        </is>
      </c>
      <c r="B103" s="10" t="inlineStr">
        <is>
          <t>2/1.00</t>
        </is>
      </c>
      <c r="C103" s="10" t="inlineStr">
        <is>
          <t>Classic</t>
        </is>
      </c>
      <c r="D103" s="26" t="n">
        <v>1400</v>
      </c>
      <c r="E103" s="26" t="n">
        <v>1400</v>
      </c>
      <c r="F103" s="26" t="n">
        <v>1550</v>
      </c>
      <c r="G103" s="26" t="n">
        <v>150</v>
      </c>
      <c r="H103" s="10" t="inlineStr">
        <is>
          <t>·</t>
        </is>
      </c>
      <c r="I103" s="10" t="inlineStr">
        <is>
          <t>·</t>
        </is>
      </c>
      <c r="J103" s="10" t="inlineStr"/>
    </row>
    <row r="104">
      <c r="A104" s="11" t="inlineStr">
        <is>
          <t>08-302</t>
        </is>
      </c>
      <c r="B104" s="12" t="inlineStr">
        <is>
          <t>2/1.00</t>
        </is>
      </c>
      <c r="C104" s="12" t="inlineStr">
        <is>
          <t>Classic</t>
        </is>
      </c>
      <c r="D104" s="25" t="n">
        <v>1250</v>
      </c>
      <c r="E104" s="25" t="n">
        <v>1300</v>
      </c>
      <c r="F104" s="25" t="n">
        <v>1550</v>
      </c>
      <c r="G104" s="25" t="n">
        <v>250</v>
      </c>
      <c r="H104" s="12" t="inlineStr">
        <is>
          <t>·</t>
        </is>
      </c>
      <c r="I104" s="12" t="inlineStr">
        <is>
          <t>·</t>
        </is>
      </c>
      <c r="J104" s="12" t="inlineStr"/>
    </row>
    <row r="105">
      <c r="A105" s="8" t="inlineStr">
        <is>
          <t>08-303</t>
        </is>
      </c>
      <c r="B105" s="10" t="inlineStr">
        <is>
          <t>1/1.00</t>
        </is>
      </c>
      <c r="C105" s="10" t="inlineStr">
        <is>
          <t>Classic</t>
        </is>
      </c>
      <c r="D105" s="26" t="n">
        <v>1045</v>
      </c>
      <c r="E105" s="26" t="n">
        <v>1095</v>
      </c>
      <c r="F105" s="26" t="n">
        <v>1350</v>
      </c>
      <c r="G105" s="26" t="n">
        <v>255</v>
      </c>
      <c r="H105" s="10" t="inlineStr">
        <is>
          <t>·</t>
        </is>
      </c>
      <c r="I105" s="10" t="inlineStr">
        <is>
          <t>·</t>
        </is>
      </c>
      <c r="J105" s="10" t="inlineStr"/>
    </row>
    <row r="106">
      <c r="A106" s="11" t="inlineStr">
        <is>
          <t>08-305</t>
        </is>
      </c>
      <c r="B106" s="12" t="inlineStr">
        <is>
          <t>1/1.00</t>
        </is>
      </c>
      <c r="C106" s="12" t="inlineStr">
        <is>
          <t>Classic</t>
        </is>
      </c>
      <c r="D106" s="25" t="n">
        <v>1150</v>
      </c>
      <c r="E106" s="25" t="n">
        <v>1200</v>
      </c>
      <c r="F106" s="25" t="n">
        <v>1350</v>
      </c>
      <c r="G106" s="25" t="n">
        <v>150</v>
      </c>
      <c r="H106" s="12" t="inlineStr">
        <is>
          <t>·</t>
        </is>
      </c>
      <c r="I106" s="12" t="inlineStr">
        <is>
          <t>·</t>
        </is>
      </c>
      <c r="J106" s="12" t="inlineStr"/>
    </row>
    <row r="107">
      <c r="A107" s="8" t="inlineStr">
        <is>
          <t>08-306</t>
        </is>
      </c>
      <c r="B107" s="10" t="inlineStr">
        <is>
          <t>1/1.00</t>
        </is>
      </c>
      <c r="C107" s="10" t="inlineStr">
        <is>
          <t>Classic</t>
        </is>
      </c>
      <c r="D107" s="26" t="n">
        <v>1075</v>
      </c>
      <c r="E107" s="26" t="n">
        <v>1125</v>
      </c>
      <c r="F107" s="26" t="n">
        <v>1350</v>
      </c>
      <c r="G107" s="26" t="n">
        <v>225</v>
      </c>
      <c r="H107" s="10" t="inlineStr">
        <is>
          <t>·</t>
        </is>
      </c>
      <c r="I107" s="10" t="inlineStr">
        <is>
          <t>·</t>
        </is>
      </c>
      <c r="J107" s="10" t="inlineStr"/>
    </row>
    <row r="108">
      <c r="A108" s="11" t="inlineStr">
        <is>
          <t>08-307</t>
        </is>
      </c>
      <c r="B108" s="12" t="inlineStr">
        <is>
          <t>2/1.00</t>
        </is>
      </c>
      <c r="C108" s="12" t="inlineStr">
        <is>
          <t>Classic</t>
        </is>
      </c>
      <c r="D108" s="25" t="n">
        <v>1140</v>
      </c>
      <c r="E108" s="25" t="n">
        <v>1200</v>
      </c>
      <c r="F108" s="25" t="n">
        <v>1550</v>
      </c>
      <c r="G108" s="25" t="n">
        <v>350</v>
      </c>
      <c r="H108" s="12" t="inlineStr">
        <is>
          <t>·</t>
        </is>
      </c>
      <c r="I108" s="12" t="inlineStr">
        <is>
          <t>·</t>
        </is>
      </c>
      <c r="J108" s="12" t="inlineStr"/>
    </row>
    <row r="109">
      <c r="A109" s="8" t="inlineStr">
        <is>
          <t>10-101</t>
        </is>
      </c>
      <c r="B109" s="10" t="inlineStr">
        <is>
          <t>2/1.00</t>
        </is>
      </c>
      <c r="C109" s="10" t="inlineStr">
        <is>
          <t>Classic</t>
        </is>
      </c>
      <c r="D109" s="26" t="n">
        <v>1250</v>
      </c>
      <c r="E109" s="26" t="n">
        <v>1325</v>
      </c>
      <c r="F109" s="26" t="n">
        <v>1550</v>
      </c>
      <c r="G109" s="26" t="n">
        <v>225</v>
      </c>
      <c r="H109" s="10" t="inlineStr">
        <is>
          <t>·</t>
        </is>
      </c>
      <c r="I109" s="10" t="inlineStr">
        <is>
          <t>·</t>
        </is>
      </c>
      <c r="J109" s="10" t="inlineStr"/>
    </row>
    <row r="110">
      <c r="A110" s="11" t="inlineStr">
        <is>
          <t>10-102</t>
        </is>
      </c>
      <c r="B110" s="12" t="inlineStr">
        <is>
          <t>2/1.00</t>
        </is>
      </c>
      <c r="C110" s="12" t="inlineStr">
        <is>
          <t>Classic</t>
        </is>
      </c>
      <c r="D110" s="25" t="n">
        <v>1125</v>
      </c>
      <c r="E110" s="25" t="n">
        <v>1200</v>
      </c>
      <c r="F110" s="25" t="n">
        <v>1550</v>
      </c>
      <c r="G110" s="25" t="n">
        <v>350</v>
      </c>
      <c r="H110" s="12" t="inlineStr">
        <is>
          <t>·</t>
        </is>
      </c>
      <c r="I110" s="12" t="inlineStr">
        <is>
          <t>·</t>
        </is>
      </c>
      <c r="J110" s="12" t="inlineStr"/>
    </row>
    <row r="111">
      <c r="A111" s="8" t="inlineStr">
        <is>
          <t>10-104</t>
        </is>
      </c>
      <c r="B111" s="10" t="inlineStr">
        <is>
          <t>1/1.00</t>
        </is>
      </c>
      <c r="C111" s="10" t="inlineStr">
        <is>
          <t>Classic</t>
        </is>
      </c>
      <c r="D111" s="26" t="n">
        <v>1055</v>
      </c>
      <c r="E111" s="26" t="n">
        <v>1105</v>
      </c>
      <c r="F111" s="26" t="n">
        <v>1350</v>
      </c>
      <c r="G111" s="26" t="n">
        <v>245</v>
      </c>
      <c r="H111" s="10" t="inlineStr">
        <is>
          <t>·</t>
        </is>
      </c>
      <c r="I111" s="10" t="inlineStr">
        <is>
          <t>·</t>
        </is>
      </c>
      <c r="J111" s="10" t="inlineStr"/>
    </row>
    <row r="112">
      <c r="A112" s="11" t="inlineStr">
        <is>
          <t>10-105</t>
        </is>
      </c>
      <c r="B112" s="12" t="inlineStr">
        <is>
          <t>1/1.00</t>
        </is>
      </c>
      <c r="C112" s="12" t="inlineStr">
        <is>
          <t>Classic</t>
        </is>
      </c>
      <c r="D112" s="25" t="n">
        <v>1200</v>
      </c>
      <c r="E112" s="25" t="n">
        <v>1250</v>
      </c>
      <c r="F112" s="25" t="n">
        <v>1350</v>
      </c>
      <c r="G112" s="25" t="n">
        <v>100</v>
      </c>
      <c r="H112" s="12" t="inlineStr">
        <is>
          <t>·</t>
        </is>
      </c>
      <c r="I112" s="12" t="inlineStr">
        <is>
          <t>·</t>
        </is>
      </c>
      <c r="J112" s="12" t="inlineStr"/>
    </row>
    <row r="113">
      <c r="A113" s="8" t="inlineStr">
        <is>
          <t>10-106</t>
        </is>
      </c>
      <c r="B113" s="10" t="inlineStr">
        <is>
          <t>1/1.00</t>
        </is>
      </c>
      <c r="C113" s="10" t="inlineStr">
        <is>
          <t>Classic</t>
        </is>
      </c>
      <c r="D113" s="26" t="n">
        <v>1200</v>
      </c>
      <c r="E113" s="26" t="n">
        <v>1225</v>
      </c>
      <c r="F113" s="26" t="n">
        <v>1350</v>
      </c>
      <c r="G113" s="26" t="n">
        <v>125</v>
      </c>
      <c r="H113" s="10" t="inlineStr">
        <is>
          <t>·</t>
        </is>
      </c>
      <c r="I113" s="10" t="inlineStr">
        <is>
          <t>·</t>
        </is>
      </c>
      <c r="J113" s="10" t="inlineStr"/>
    </row>
    <row r="114">
      <c r="A114" s="11" t="inlineStr">
        <is>
          <t>10-107</t>
        </is>
      </c>
      <c r="B114" s="12" t="inlineStr">
        <is>
          <t>2/1.00</t>
        </is>
      </c>
      <c r="C114" s="12" t="inlineStr">
        <is>
          <t>Classic</t>
        </is>
      </c>
      <c r="D114" s="25" t="n">
        <v>1350</v>
      </c>
      <c r="E114" s="25" t="n">
        <v>1400</v>
      </c>
      <c r="F114" s="25" t="n">
        <v>1550</v>
      </c>
      <c r="G114" s="25" t="n">
        <v>150</v>
      </c>
      <c r="H114" s="12" t="inlineStr">
        <is>
          <t>·</t>
        </is>
      </c>
      <c r="I114" s="12" t="inlineStr">
        <is>
          <t>·</t>
        </is>
      </c>
      <c r="J114" s="12" t="inlineStr"/>
    </row>
    <row r="115">
      <c r="A115" s="8" t="inlineStr">
        <is>
          <t>10-108</t>
        </is>
      </c>
      <c r="B115" s="10" t="inlineStr">
        <is>
          <t>2/1.00</t>
        </is>
      </c>
      <c r="C115" s="10" t="inlineStr">
        <is>
          <t>Classic</t>
        </is>
      </c>
      <c r="D115" s="26" t="n">
        <v>1225</v>
      </c>
      <c r="E115" s="26" t="n">
        <v>1225</v>
      </c>
      <c r="F115" s="26" t="n">
        <v>1550</v>
      </c>
      <c r="G115" s="26" t="n">
        <v>325</v>
      </c>
      <c r="H115" s="10" t="inlineStr">
        <is>
          <t>·</t>
        </is>
      </c>
      <c r="I115" s="10" t="inlineStr">
        <is>
          <t>·</t>
        </is>
      </c>
      <c r="J115" s="10" t="inlineStr"/>
    </row>
    <row r="116">
      <c r="A116" s="11" t="inlineStr">
        <is>
          <t>10-202</t>
        </is>
      </c>
      <c r="B116" s="12" t="inlineStr">
        <is>
          <t>2/1.00</t>
        </is>
      </c>
      <c r="C116" s="12" t="inlineStr">
        <is>
          <t>Classic</t>
        </is>
      </c>
      <c r="D116" s="25" t="n">
        <v>1375</v>
      </c>
      <c r="E116" s="25" t="n">
        <v>1425</v>
      </c>
      <c r="F116" s="25" t="n">
        <v>1550</v>
      </c>
      <c r="G116" s="25" t="n">
        <v>125</v>
      </c>
      <c r="H116" s="12" t="inlineStr">
        <is>
          <t>·</t>
        </is>
      </c>
      <c r="I116" s="12" t="inlineStr">
        <is>
          <t>·</t>
        </is>
      </c>
      <c r="J116" s="12" t="inlineStr"/>
    </row>
    <row r="117">
      <c r="A117" s="8" t="inlineStr">
        <is>
          <t>10-203</t>
        </is>
      </c>
      <c r="B117" s="10" t="inlineStr">
        <is>
          <t>1/1.00</t>
        </is>
      </c>
      <c r="C117" s="10" t="inlineStr">
        <is>
          <t>Classic</t>
        </is>
      </c>
      <c r="D117" s="26" t="n">
        <v>1175</v>
      </c>
      <c r="E117" s="26" t="n">
        <v>1225</v>
      </c>
      <c r="F117" s="26" t="n">
        <v>1350</v>
      </c>
      <c r="G117" s="26" t="n">
        <v>125</v>
      </c>
      <c r="H117" s="10" t="inlineStr">
        <is>
          <t>·</t>
        </is>
      </c>
      <c r="I117" s="10" t="inlineStr">
        <is>
          <t>·</t>
        </is>
      </c>
      <c r="J117" s="10" t="inlineStr"/>
    </row>
    <row r="118">
      <c r="A118" s="11" t="inlineStr">
        <is>
          <t>10-204</t>
        </is>
      </c>
      <c r="B118" s="12" t="inlineStr">
        <is>
          <t>1/1.00</t>
        </is>
      </c>
      <c r="C118" s="12" t="inlineStr">
        <is>
          <t>Classic</t>
        </is>
      </c>
      <c r="D118" s="25" t="n">
        <v>1110</v>
      </c>
      <c r="E118" s="25" t="n">
        <v>1175</v>
      </c>
      <c r="F118" s="25" t="n">
        <v>1350</v>
      </c>
      <c r="G118" s="25" t="n">
        <v>175</v>
      </c>
      <c r="H118" s="12" t="inlineStr">
        <is>
          <t>·</t>
        </is>
      </c>
      <c r="I118" s="12" t="inlineStr">
        <is>
          <t>·</t>
        </is>
      </c>
      <c r="J118" s="12" t="inlineStr"/>
    </row>
    <row r="119">
      <c r="A119" s="8" t="inlineStr">
        <is>
          <t>10-205</t>
        </is>
      </c>
      <c r="B119" s="10" t="inlineStr">
        <is>
          <t>1/1.00</t>
        </is>
      </c>
      <c r="C119" s="10" t="inlineStr">
        <is>
          <t>Classic</t>
        </is>
      </c>
      <c r="D119" s="26" t="n">
        <v>1250</v>
      </c>
      <c r="E119" s="26" t="n">
        <v>1275</v>
      </c>
      <c r="F119" s="26" t="n">
        <v>1350</v>
      </c>
      <c r="G119" s="26" t="n">
        <v>75</v>
      </c>
      <c r="H119" s="10" t="inlineStr">
        <is>
          <t>·</t>
        </is>
      </c>
      <c r="I119" s="10" t="inlineStr">
        <is>
          <t>·</t>
        </is>
      </c>
      <c r="J119" s="10" t="inlineStr"/>
    </row>
    <row r="120">
      <c r="A120" s="11" t="inlineStr">
        <is>
          <t>10-302</t>
        </is>
      </c>
      <c r="B120" s="12" t="inlineStr">
        <is>
          <t>2/1.00</t>
        </is>
      </c>
      <c r="C120" s="12" t="inlineStr">
        <is>
          <t>Classic</t>
        </is>
      </c>
      <c r="D120" s="25" t="n">
        <v>1125</v>
      </c>
      <c r="E120" s="25" t="n">
        <v>1200</v>
      </c>
      <c r="F120" s="25" t="n">
        <v>1550</v>
      </c>
      <c r="G120" s="25" t="n">
        <v>350</v>
      </c>
      <c r="H120" s="12" t="inlineStr">
        <is>
          <t>·</t>
        </is>
      </c>
      <c r="I120" s="12" t="inlineStr">
        <is>
          <t>·</t>
        </is>
      </c>
      <c r="J120" s="12" t="inlineStr"/>
    </row>
    <row r="121">
      <c r="A121" s="8" t="inlineStr">
        <is>
          <t>10-303</t>
        </is>
      </c>
      <c r="B121" s="10" t="inlineStr">
        <is>
          <t>1/1.00</t>
        </is>
      </c>
      <c r="C121" s="10" t="inlineStr">
        <is>
          <t>Classic</t>
        </is>
      </c>
      <c r="D121" s="26" t="n">
        <v>1225</v>
      </c>
      <c r="E121" s="26" t="n">
        <v>1250</v>
      </c>
      <c r="F121" s="26" t="n">
        <v>1350</v>
      </c>
      <c r="G121" s="26" t="n">
        <v>100</v>
      </c>
      <c r="H121" s="10" t="inlineStr">
        <is>
          <t>·</t>
        </is>
      </c>
      <c r="I121" s="10" t="inlineStr">
        <is>
          <t>·</t>
        </is>
      </c>
      <c r="J121" s="10" t="inlineStr"/>
    </row>
    <row r="122">
      <c r="A122" s="11" t="inlineStr">
        <is>
          <t>10-305</t>
        </is>
      </c>
      <c r="B122" s="12" t="inlineStr">
        <is>
          <t>1/1.00</t>
        </is>
      </c>
      <c r="C122" s="12" t="inlineStr">
        <is>
          <t>Classic</t>
        </is>
      </c>
      <c r="D122" s="25" t="n">
        <v>1000</v>
      </c>
      <c r="E122" s="25" t="n">
        <v>1090</v>
      </c>
      <c r="F122" s="25" t="n">
        <v>1350</v>
      </c>
      <c r="G122" s="25" t="n">
        <v>260</v>
      </c>
      <c r="H122" s="12" t="inlineStr">
        <is>
          <t>·</t>
        </is>
      </c>
      <c r="I122" s="12" t="inlineStr">
        <is>
          <t>·</t>
        </is>
      </c>
      <c r="J122" s="12" t="inlineStr"/>
    </row>
    <row r="123">
      <c r="A123" s="8" t="inlineStr">
        <is>
          <t>10-307</t>
        </is>
      </c>
      <c r="B123" s="10" t="inlineStr">
        <is>
          <t>2/1.00</t>
        </is>
      </c>
      <c r="C123" s="10" t="inlineStr">
        <is>
          <t>Classic</t>
        </is>
      </c>
      <c r="D123" s="26" t="n">
        <v>1200</v>
      </c>
      <c r="E123" s="26" t="n">
        <v>1275</v>
      </c>
      <c r="F123" s="26" t="n">
        <v>1550</v>
      </c>
      <c r="G123" s="26" t="n">
        <v>275</v>
      </c>
      <c r="H123" s="10" t="inlineStr">
        <is>
          <t>·</t>
        </is>
      </c>
      <c r="I123" s="10" t="inlineStr">
        <is>
          <t>·</t>
        </is>
      </c>
      <c r="J123" s="10" t="inlineStr"/>
    </row>
    <row r="124">
      <c r="A124" s="11" t="inlineStr">
        <is>
          <t>TOTALS</t>
        </is>
      </c>
      <c r="B124" s="12" t="inlineStr"/>
      <c r="C124" s="12" t="inlineStr">
        <is>
          <t>46 Reno / 74 Classic</t>
        </is>
      </c>
      <c r="D124" s="25" t="inlineStr"/>
      <c r="E124" s="25" t="inlineStr"/>
      <c r="F124" s="25" t="inlineStr"/>
      <c r="G124" s="25" t="inlineStr"/>
      <c r="H124" s="12" t="inlineStr">
        <is>
          <t>14</t>
        </is>
      </c>
      <c r="I124" s="12" t="inlineStr">
        <is>
          <t>2</t>
        </is>
      </c>
      <c r="J124" s="12" t="inlineStr"/>
    </row>
    <row r="125">
      <c r="A125" s="40" t="inlineStr">
        <is>
          <t>TOTAL RENOVATED: 121 units</t>
        </is>
      </c>
      <c r="B125" s="39" t="n"/>
      <c r="C125" s="40" t="n"/>
      <c r="D125" s="40" t="n"/>
      <c r="E125" s="41">
        <f>AVERAGE(E4:E124)</f>
        <v/>
      </c>
      <c r="F125" s="41">
        <f>AVERAGE(F4:F124)</f>
        <v/>
      </c>
      <c r="G125" s="40" t="n"/>
      <c r="H125" s="40" t="n"/>
      <c r="I125" s="40" t="n"/>
      <c r="J125" s="40" t="n"/>
    </row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6" customWidth="1" min="5" max="5"/>
    <col width="12" customWidth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Escrow Summary</t>
        </is>
      </c>
      <c r="B1" s="3" t="n"/>
      <c r="C1" s="3" t="n"/>
      <c r="D1" s="3" t="n"/>
      <c r="E1" s="3" t="n"/>
      <c r="F1" s="3" t="n"/>
    </row>
    <row r="2" ht="18" customHeight="1">
      <c r="A2" s="4" t="inlineStr">
        <is>
          <t>Cumulative balances for tax, insurance, and capital reserve accounts</t>
        </is>
      </c>
      <c r="B2" s="5" t="n"/>
      <c r="C2" s="5" t="n"/>
      <c r="D2" s="5" t="n"/>
      <c r="E2" s="5" t="n"/>
      <c r="F2" s="5" t="n"/>
    </row>
    <row r="3" ht="20" customHeight="1">
      <c r="A3" s="6" t="inlineStr">
        <is>
          <t>ESCROW ACCOUNT BALANCES</t>
        </is>
      </c>
      <c r="B3" s="6" t="n"/>
      <c r="C3" s="6" t="n"/>
      <c r="D3" s="6" t="n"/>
      <c r="E3" s="6" t="n"/>
      <c r="F3" s="6" t="n"/>
    </row>
    <row r="4" ht="20" customHeight="1">
      <c r="A4" s="7" t="inlineStr">
        <is>
          <t>Account</t>
        </is>
      </c>
      <c r="B4" s="7" t="inlineStr">
        <is>
          <t>Total Deposits</t>
        </is>
      </c>
      <c r="C4" s="7" t="inlineStr">
        <is>
          <t>Total Payments</t>
        </is>
      </c>
      <c r="D4" s="7" t="inlineStr">
        <is>
          <t>Net Balance</t>
        </is>
      </c>
      <c r="E4" s="7" t="inlineStr">
        <is>
          <t>Notes</t>
        </is>
      </c>
      <c r="F4" s="7" t="inlineStr"/>
    </row>
    <row r="5">
      <c r="A5" s="21" t="inlineStr">
        <is>
          <t>Real Estate Taxes</t>
        </is>
      </c>
      <c r="B5" s="37">
        <f>SUMIF('Escrow_Input'!$B:$B,A5,'Escrow_Input'!$C:$C)</f>
        <v/>
      </c>
      <c r="C5" s="37">
        <f>SUMIF('Escrow_Input'!$B:$B,A5,'Escrow_Input'!$D:$D)</f>
        <v/>
      </c>
      <c r="D5" s="53">
        <f>B5-C5</f>
        <v/>
      </c>
      <c r="E5" s="23" t="n"/>
      <c r="F5" s="23" t="n"/>
    </row>
    <row r="6">
      <c r="A6" s="18" t="inlineStr">
        <is>
          <t>Property Insurance</t>
        </is>
      </c>
      <c r="B6" s="38">
        <f>SUMIF('Escrow_Input'!$B:$B,A6,'Escrow_Input'!$C:$C)</f>
        <v/>
      </c>
      <c r="C6" s="38">
        <f>SUMIF('Escrow_Input'!$B:$B,A6,'Escrow_Input'!$D:$D)</f>
        <v/>
      </c>
      <c r="D6" s="54">
        <f>B6-C6</f>
        <v/>
      </c>
      <c r="E6" s="20" t="n"/>
      <c r="F6" s="20" t="n"/>
    </row>
    <row r="7">
      <c r="A7" s="21" t="inlineStr">
        <is>
          <t>Capital Reserves</t>
        </is>
      </c>
      <c r="B7" s="37">
        <f>SUMIF('Escrow_Input'!$B:$B,A7,'Escrow_Input'!$C:$C)</f>
        <v/>
      </c>
      <c r="C7" s="37">
        <f>SUMIF('Escrow_Input'!$B:$B,A7,'Escrow_Input'!$D:$D)</f>
        <v/>
      </c>
      <c r="D7" s="53">
        <f>B7-C7</f>
        <v/>
      </c>
      <c r="E7" s="23" t="n"/>
      <c r="F7" s="23" t="n"/>
    </row>
    <row r="8">
      <c r="A8" s="43" t="inlineStr">
        <is>
          <t>TOTAL ALL ACCOUNTS</t>
        </is>
      </c>
      <c r="B8" s="44">
        <f>SUM(B5:B7)</f>
        <v/>
      </c>
      <c r="C8" s="44">
        <f>SUM(C5:C7)</f>
        <v/>
      </c>
      <c r="D8" s="44">
        <f>SUM(D5:D7)</f>
        <v/>
      </c>
      <c r="E8" s="43" t="n"/>
      <c r="F8" s="43" t="n"/>
    </row>
    <row r="9"/>
    <row r="10" ht="20" customHeight="1">
      <c r="A10" s="6" t="inlineStr">
        <is>
          <t>MONTHLY DEPOSITS BY ACCOUNT</t>
        </is>
      </c>
      <c r="B10" s="6" t="n"/>
      <c r="C10" s="6" t="n"/>
      <c r="D10" s="6" t="n"/>
      <c r="E10" s="6" t="n"/>
      <c r="F10" s="6" t="n"/>
    </row>
    <row r="11" ht="20" customHeight="1">
      <c r="A11" s="7" t="inlineStr">
        <is>
          <t>Month</t>
        </is>
      </c>
      <c r="B11" s="7" t="inlineStr">
        <is>
          <t>Real Estate Taxes</t>
        </is>
      </c>
      <c r="C11" s="7" t="inlineStr">
        <is>
          <t>Property Insurance</t>
        </is>
      </c>
      <c r="D11" s="7" t="inlineStr">
        <is>
          <t>Capital Reserves</t>
        </is>
      </c>
      <c r="E11" s="7" t="inlineStr">
        <is>
          <t>Total</t>
        </is>
      </c>
      <c r="F11" s="7" t="inlineStr"/>
    </row>
    <row r="12">
      <c r="A12" s="55" t="n">
        <v>45505</v>
      </c>
      <c r="B12" s="38">
        <f>SUMIFS('Escrow_Input'!$C:$C,'Escrow_Input'!$A:$A,DATE(2024,8,1),'Escrow_Input'!$B:$B,"Real Estate Taxes")</f>
        <v/>
      </c>
      <c r="C12" s="38">
        <f>SUMIFS('Escrow_Input'!$C:$C,'Escrow_Input'!$A:$A,DATE(2024,8,1),'Escrow_Input'!$B:$B,"Property Insurance")</f>
        <v/>
      </c>
      <c r="D12" s="38">
        <f>SUMIFS('Escrow_Input'!$C:$C,'Escrow_Input'!$A:$A,DATE(2024,8,1),'Escrow_Input'!$B:$B,"Capital Reserves")</f>
        <v/>
      </c>
      <c r="E12" s="54">
        <f>SUM(B12:D12)</f>
        <v/>
      </c>
      <c r="F12" s="20" t="n"/>
    </row>
    <row r="13">
      <c r="A13" s="56" t="n">
        <v>45536</v>
      </c>
      <c r="B13" s="37">
        <f>SUMIFS('Escrow_Input'!$C:$C,'Escrow_Input'!$A:$A,DATE(2024,9,1),'Escrow_Input'!$B:$B,"Real Estate Taxes")</f>
        <v/>
      </c>
      <c r="C13" s="37">
        <f>SUMIFS('Escrow_Input'!$C:$C,'Escrow_Input'!$A:$A,DATE(2024,9,1),'Escrow_Input'!$B:$B,"Property Insurance")</f>
        <v/>
      </c>
      <c r="D13" s="37">
        <f>SUMIFS('Escrow_Input'!$C:$C,'Escrow_Input'!$A:$A,DATE(2024,9,1),'Escrow_Input'!$B:$B,"Capital Reserves")</f>
        <v/>
      </c>
      <c r="E13" s="53">
        <f>SUM(B13:D13)</f>
        <v/>
      </c>
      <c r="F13" s="23" t="n"/>
    </row>
    <row r="14">
      <c r="A14" s="55" t="n">
        <v>45566</v>
      </c>
      <c r="B14" s="38">
        <f>SUMIFS('Escrow_Input'!$C:$C,'Escrow_Input'!$A:$A,DATE(2024,10,1),'Escrow_Input'!$B:$B,"Real Estate Taxes")</f>
        <v/>
      </c>
      <c r="C14" s="38">
        <f>SUMIFS('Escrow_Input'!$C:$C,'Escrow_Input'!$A:$A,DATE(2024,10,1),'Escrow_Input'!$B:$B,"Property Insurance")</f>
        <v/>
      </c>
      <c r="D14" s="38">
        <f>SUMIFS('Escrow_Input'!$C:$C,'Escrow_Input'!$A:$A,DATE(2024,10,1),'Escrow_Input'!$B:$B,"Capital Reserves")</f>
        <v/>
      </c>
      <c r="E14" s="54">
        <f>SUM(B14:D14)</f>
        <v/>
      </c>
      <c r="F14" s="20" t="n"/>
    </row>
    <row r="15">
      <c r="A15" s="56" t="n">
        <v>45597</v>
      </c>
      <c r="B15" s="37">
        <f>SUMIFS('Escrow_Input'!$C:$C,'Escrow_Input'!$A:$A,DATE(2024,11,1),'Escrow_Input'!$B:$B,"Real Estate Taxes")</f>
        <v/>
      </c>
      <c r="C15" s="37">
        <f>SUMIFS('Escrow_Input'!$C:$C,'Escrow_Input'!$A:$A,DATE(2024,11,1),'Escrow_Input'!$B:$B,"Property Insurance")</f>
        <v/>
      </c>
      <c r="D15" s="37">
        <f>SUMIFS('Escrow_Input'!$C:$C,'Escrow_Input'!$A:$A,DATE(2024,11,1),'Escrow_Input'!$B:$B,"Capital Reserves")</f>
        <v/>
      </c>
      <c r="E15" s="53">
        <f>SUM(B15:D15)</f>
        <v/>
      </c>
      <c r="F15" s="23" t="n"/>
    </row>
    <row r="16">
      <c r="A16" s="55" t="n">
        <v>45627</v>
      </c>
      <c r="B16" s="38">
        <f>SUMIFS('Escrow_Input'!$C:$C,'Escrow_Input'!$A:$A,DATE(2024,12,1),'Escrow_Input'!$B:$B,"Real Estate Taxes")</f>
        <v/>
      </c>
      <c r="C16" s="38">
        <f>SUMIFS('Escrow_Input'!$C:$C,'Escrow_Input'!$A:$A,DATE(2024,12,1),'Escrow_Input'!$B:$B,"Property Insurance")</f>
        <v/>
      </c>
      <c r="D16" s="38">
        <f>SUMIFS('Escrow_Input'!$C:$C,'Escrow_Input'!$A:$A,DATE(2024,12,1),'Escrow_Input'!$B:$B,"Capital Reserves")</f>
        <v/>
      </c>
      <c r="E16" s="54">
        <f>SUM(B16:D16)</f>
        <v/>
      </c>
      <c r="F16" s="20" t="n"/>
    </row>
    <row r="17">
      <c r="A17" s="56" t="n">
        <v>45658</v>
      </c>
      <c r="B17" s="37">
        <f>SUMIFS('Escrow_Input'!$C:$C,'Escrow_Input'!$A:$A,DATE(2025,1,1),'Escrow_Input'!$B:$B,"Real Estate Taxes")</f>
        <v/>
      </c>
      <c r="C17" s="37">
        <f>SUMIFS('Escrow_Input'!$C:$C,'Escrow_Input'!$A:$A,DATE(2025,1,1),'Escrow_Input'!$B:$B,"Property Insurance")</f>
        <v/>
      </c>
      <c r="D17" s="37">
        <f>SUMIFS('Escrow_Input'!$C:$C,'Escrow_Input'!$A:$A,DATE(2025,1,1),'Escrow_Input'!$B:$B,"Capital Reserves")</f>
        <v/>
      </c>
      <c r="E17" s="53">
        <f>SUM(B17:D17)</f>
        <v/>
      </c>
      <c r="F17" s="23" t="n"/>
    </row>
    <row r="18">
      <c r="A18" s="55" t="n">
        <v>45689</v>
      </c>
      <c r="B18" s="38">
        <f>SUMIFS('Escrow_Input'!$C:$C,'Escrow_Input'!$A:$A,DATE(2025,2,1),'Escrow_Input'!$B:$B,"Real Estate Taxes")</f>
        <v/>
      </c>
      <c r="C18" s="38">
        <f>SUMIFS('Escrow_Input'!$C:$C,'Escrow_Input'!$A:$A,DATE(2025,2,1),'Escrow_Input'!$B:$B,"Property Insurance")</f>
        <v/>
      </c>
      <c r="D18" s="38">
        <f>SUMIFS('Escrow_Input'!$C:$C,'Escrow_Input'!$A:$A,DATE(2025,2,1),'Escrow_Input'!$B:$B,"Capital Reserves")</f>
        <v/>
      </c>
      <c r="E18" s="54">
        <f>SUM(B18:D18)</f>
        <v/>
      </c>
      <c r="F18" s="20" t="n"/>
    </row>
    <row r="19">
      <c r="A19" s="56" t="n">
        <v>45717</v>
      </c>
      <c r="B19" s="37">
        <f>SUMIFS('Escrow_Input'!$C:$C,'Escrow_Input'!$A:$A,DATE(2025,3,1),'Escrow_Input'!$B:$B,"Real Estate Taxes")</f>
        <v/>
      </c>
      <c r="C19" s="37">
        <f>SUMIFS('Escrow_Input'!$C:$C,'Escrow_Input'!$A:$A,DATE(2025,3,1),'Escrow_Input'!$B:$B,"Property Insurance")</f>
        <v/>
      </c>
      <c r="D19" s="37">
        <f>SUMIFS('Escrow_Input'!$C:$C,'Escrow_Input'!$A:$A,DATE(2025,3,1),'Escrow_Input'!$B:$B,"Capital Reserves")</f>
        <v/>
      </c>
      <c r="E19" s="53">
        <f>SUM(B19:D19)</f>
        <v/>
      </c>
      <c r="F19" s="23" t="n"/>
    </row>
    <row r="20">
      <c r="A20" s="55" t="n">
        <v>45748</v>
      </c>
      <c r="B20" s="38">
        <f>SUMIFS('Escrow_Input'!$C:$C,'Escrow_Input'!$A:$A,DATE(2025,4,1),'Escrow_Input'!$B:$B,"Real Estate Taxes")</f>
        <v/>
      </c>
      <c r="C20" s="38">
        <f>SUMIFS('Escrow_Input'!$C:$C,'Escrow_Input'!$A:$A,DATE(2025,4,1),'Escrow_Input'!$B:$B,"Property Insurance")</f>
        <v/>
      </c>
      <c r="D20" s="38">
        <f>SUMIFS('Escrow_Input'!$C:$C,'Escrow_Input'!$A:$A,DATE(2025,4,1),'Escrow_Input'!$B:$B,"Capital Reserves")</f>
        <v/>
      </c>
      <c r="E20" s="54">
        <f>SUM(B20:D20)</f>
        <v/>
      </c>
      <c r="F20" s="20" t="n"/>
    </row>
    <row r="21">
      <c r="A21" s="56" t="n">
        <v>45778</v>
      </c>
      <c r="B21" s="37">
        <f>SUMIFS('Escrow_Input'!$C:$C,'Escrow_Input'!$A:$A,DATE(2025,5,1),'Escrow_Input'!$B:$B,"Real Estate Taxes")</f>
        <v/>
      </c>
      <c r="C21" s="37">
        <f>SUMIFS('Escrow_Input'!$C:$C,'Escrow_Input'!$A:$A,DATE(2025,5,1),'Escrow_Input'!$B:$B,"Property Insurance")</f>
        <v/>
      </c>
      <c r="D21" s="37">
        <f>SUMIFS('Escrow_Input'!$C:$C,'Escrow_Input'!$A:$A,DATE(2025,5,1),'Escrow_Input'!$B:$B,"Capital Reserves")</f>
        <v/>
      </c>
      <c r="E21" s="53">
        <f>SUM(B21:D21)</f>
        <v/>
      </c>
      <c r="F21" s="23" t="n"/>
    </row>
    <row r="22">
      <c r="A22" s="55" t="n">
        <v>45809</v>
      </c>
      <c r="B22" s="38">
        <f>SUMIFS('Escrow_Input'!$C:$C,'Escrow_Input'!$A:$A,DATE(2025,6,1),'Escrow_Input'!$B:$B,"Real Estate Taxes")</f>
        <v/>
      </c>
      <c r="C22" s="38">
        <f>SUMIFS('Escrow_Input'!$C:$C,'Escrow_Input'!$A:$A,DATE(2025,6,1),'Escrow_Input'!$B:$B,"Property Insurance")</f>
        <v/>
      </c>
      <c r="D22" s="38">
        <f>SUMIFS('Escrow_Input'!$C:$C,'Escrow_Input'!$A:$A,DATE(2025,6,1),'Escrow_Input'!$B:$B,"Capital Reserves")</f>
        <v/>
      </c>
      <c r="E22" s="54">
        <f>SUM(B22:D22)</f>
        <v/>
      </c>
      <c r="F22" s="20" t="n"/>
    </row>
    <row r="23">
      <c r="A23" s="56" t="n">
        <v>45839</v>
      </c>
      <c r="B23" s="37">
        <f>SUMIFS('Escrow_Input'!$C:$C,'Escrow_Input'!$A:$A,DATE(2025,7,1),'Escrow_Input'!$B:$B,"Real Estate Taxes")</f>
        <v/>
      </c>
      <c r="C23" s="37">
        <f>SUMIFS('Escrow_Input'!$C:$C,'Escrow_Input'!$A:$A,DATE(2025,7,1),'Escrow_Input'!$B:$B,"Property Insurance")</f>
        <v/>
      </c>
      <c r="D23" s="37">
        <f>SUMIFS('Escrow_Input'!$C:$C,'Escrow_Input'!$A:$A,DATE(2025,7,1),'Escrow_Input'!$B:$B,"Capital Reserves")</f>
        <v/>
      </c>
      <c r="E23" s="53">
        <f>SUM(B23:D23)</f>
        <v/>
      </c>
      <c r="F23" s="23" t="n"/>
    </row>
    <row r="24">
      <c r="A24" s="55" t="n">
        <v>45870</v>
      </c>
      <c r="B24" s="38">
        <f>SUMIFS('Escrow_Input'!$C:$C,'Escrow_Input'!$A:$A,DATE(2025,8,1),'Escrow_Input'!$B:$B,"Real Estate Taxes")</f>
        <v/>
      </c>
      <c r="C24" s="38">
        <f>SUMIFS('Escrow_Input'!$C:$C,'Escrow_Input'!$A:$A,DATE(2025,8,1),'Escrow_Input'!$B:$B,"Property Insurance")</f>
        <v/>
      </c>
      <c r="D24" s="38">
        <f>SUMIFS('Escrow_Input'!$C:$C,'Escrow_Input'!$A:$A,DATE(2025,8,1),'Escrow_Input'!$B:$B,"Capital Reserves")</f>
        <v/>
      </c>
      <c r="E24" s="54">
        <f>SUM(B24:D24)</f>
        <v/>
      </c>
      <c r="F24" s="20" t="n"/>
    </row>
    <row r="25">
      <c r="A25" s="56" t="n">
        <v>45901</v>
      </c>
      <c r="B25" s="37">
        <f>SUMIFS('Escrow_Input'!$C:$C,'Escrow_Input'!$A:$A,DATE(2025,9,1),'Escrow_Input'!$B:$B,"Real Estate Taxes")</f>
        <v/>
      </c>
      <c r="C25" s="37">
        <f>SUMIFS('Escrow_Input'!$C:$C,'Escrow_Input'!$A:$A,DATE(2025,9,1),'Escrow_Input'!$B:$B,"Property Insurance")</f>
        <v/>
      </c>
      <c r="D25" s="37">
        <f>SUMIFS('Escrow_Input'!$C:$C,'Escrow_Input'!$A:$A,DATE(2025,9,1),'Escrow_Input'!$B:$B,"Capital Reserves")</f>
        <v/>
      </c>
      <c r="E25" s="53">
        <f>SUM(B25:D25)</f>
        <v/>
      </c>
      <c r="F25" s="23" t="n"/>
    </row>
    <row r="26">
      <c r="A26" s="55" t="n">
        <v>45931</v>
      </c>
      <c r="B26" s="38">
        <f>SUMIFS('Escrow_Input'!$C:$C,'Escrow_Input'!$A:$A,DATE(2025,10,1),'Escrow_Input'!$B:$B,"Real Estate Taxes")</f>
        <v/>
      </c>
      <c r="C26" s="38">
        <f>SUMIFS('Escrow_Input'!$C:$C,'Escrow_Input'!$A:$A,DATE(2025,10,1),'Escrow_Input'!$B:$B,"Property Insurance")</f>
        <v/>
      </c>
      <c r="D26" s="38">
        <f>SUMIFS('Escrow_Input'!$C:$C,'Escrow_Input'!$A:$A,DATE(2025,10,1),'Escrow_Input'!$B:$B,"Capital Reserves")</f>
        <v/>
      </c>
      <c r="E26" s="54">
        <f>SUM(B26:D26)</f>
        <v/>
      </c>
      <c r="F26" s="20" t="n"/>
    </row>
    <row r="27">
      <c r="A27" s="56" t="n">
        <v>45962</v>
      </c>
      <c r="B27" s="37">
        <f>SUMIFS('Escrow_Input'!$C:$C,'Escrow_Input'!$A:$A,DATE(2025,11,1),'Escrow_Input'!$B:$B,"Real Estate Taxes")</f>
        <v/>
      </c>
      <c r="C27" s="37">
        <f>SUMIFS('Escrow_Input'!$C:$C,'Escrow_Input'!$A:$A,DATE(2025,11,1),'Escrow_Input'!$B:$B,"Property Insurance")</f>
        <v/>
      </c>
      <c r="D27" s="37">
        <f>SUMIFS('Escrow_Input'!$C:$C,'Escrow_Input'!$A:$A,DATE(2025,11,1),'Escrow_Input'!$B:$B,"Capital Reserves")</f>
        <v/>
      </c>
      <c r="E27" s="53">
        <f>SUM(B27:D27)</f>
        <v/>
      </c>
      <c r="F27" s="23" t="n"/>
    </row>
    <row r="28">
      <c r="A28" s="55" t="n">
        <v>45992</v>
      </c>
      <c r="B28" s="38">
        <f>SUMIFS('Escrow_Input'!$C:$C,'Escrow_Input'!$A:$A,DATE(2025,12,1),'Escrow_Input'!$B:$B,"Real Estate Taxes")</f>
        <v/>
      </c>
      <c r="C28" s="38">
        <f>SUMIFS('Escrow_Input'!$C:$C,'Escrow_Input'!$A:$A,DATE(2025,12,1),'Escrow_Input'!$B:$B,"Property Insurance")</f>
        <v/>
      </c>
      <c r="D28" s="38">
        <f>SUMIFS('Escrow_Input'!$C:$C,'Escrow_Input'!$A:$A,DATE(2025,12,1),'Escrow_Input'!$B:$B,"Capital Reserves")</f>
        <v/>
      </c>
      <c r="E28" s="54">
        <f>SUM(B28:D28)</f>
        <v/>
      </c>
      <c r="F28" s="20" t="n"/>
    </row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24" customWidth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Escrow Input</t>
        </is>
      </c>
      <c r="B1" s="3" t="n"/>
      <c r="C1" s="3" t="n"/>
      <c r="D1" s="3" t="n"/>
      <c r="E1" s="3" t="n"/>
      <c r="F1" s="3" t="n"/>
    </row>
    <row r="2" ht="18" customHeight="1">
      <c r="A2" s="4" t="inlineStr">
        <is>
          <t>Transaction detail for tax, insurance, and reserve accounts  |  56 records</t>
        </is>
      </c>
      <c r="B2" s="5" t="n"/>
      <c r="C2" s="5" t="n"/>
      <c r="D2" s="5" t="n"/>
      <c r="E2" s="5" t="n"/>
      <c r="F2" s="5" t="n"/>
    </row>
    <row r="3" ht="20" customHeight="1">
      <c r="A3" s="7" t="inlineStr">
        <is>
          <t>Month</t>
        </is>
      </c>
      <c r="B3" s="7" t="inlineStr">
        <is>
          <t>Account</t>
        </is>
      </c>
      <c r="C3" s="7" t="inlineStr">
        <is>
          <t>Deposits</t>
        </is>
      </c>
      <c r="D3" s="7" t="inlineStr">
        <is>
          <t>Payments</t>
        </is>
      </c>
      <c r="E3" s="7" t="inlineStr">
        <is>
          <t>Net</t>
        </is>
      </c>
      <c r="F3" s="7" t="inlineStr">
        <is>
          <t>Notes</t>
        </is>
      </c>
    </row>
    <row r="4">
      <c r="A4" s="55" t="n">
        <v>45505</v>
      </c>
      <c r="B4" s="12" t="inlineStr">
        <is>
          <t>Real Estate Taxes</t>
        </is>
      </c>
      <c r="C4" s="38" t="n">
        <v>17077.08</v>
      </c>
      <c r="D4" s="38" t="inlineStr"/>
      <c r="E4" s="38">
        <f>C4-D4</f>
        <v/>
      </c>
      <c r="F4" s="11" t="inlineStr"/>
    </row>
    <row r="5">
      <c r="A5" s="56" t="n">
        <v>45505</v>
      </c>
      <c r="B5" s="10" t="inlineStr">
        <is>
          <t>Property Insurance</t>
        </is>
      </c>
      <c r="C5" s="37" t="n">
        <v>8403.58</v>
      </c>
      <c r="D5" s="37" t="inlineStr"/>
      <c r="E5" s="37">
        <f>C5-D5</f>
        <v/>
      </c>
      <c r="F5" s="8" t="inlineStr"/>
    </row>
    <row r="6">
      <c r="A6" s="55" t="n">
        <v>45505</v>
      </c>
      <c r="B6" s="12" t="inlineStr">
        <is>
          <t>Capital Reserves</t>
        </is>
      </c>
      <c r="C6" s="38" t="n">
        <v>2550</v>
      </c>
      <c r="D6" s="38" t="inlineStr"/>
      <c r="E6" s="38">
        <f>C6-D6</f>
        <v/>
      </c>
      <c r="F6" s="11" t="inlineStr"/>
    </row>
    <row r="7">
      <c r="A7" s="56" t="n">
        <v>45536</v>
      </c>
      <c r="B7" s="10" t="inlineStr">
        <is>
          <t>Real Estate Taxes</t>
        </is>
      </c>
      <c r="C7" s="37" t="n">
        <v>17077.08</v>
      </c>
      <c r="D7" s="37" t="inlineStr"/>
      <c r="E7" s="37">
        <f>C7-D7</f>
        <v/>
      </c>
      <c r="F7" s="8" t="inlineStr"/>
    </row>
    <row r="8">
      <c r="A8" s="55" t="n">
        <v>45536</v>
      </c>
      <c r="B8" s="12" t="inlineStr">
        <is>
          <t>Property Insurance</t>
        </is>
      </c>
      <c r="C8" s="38" t="n">
        <v>8403.58</v>
      </c>
      <c r="D8" s="38" t="inlineStr"/>
      <c r="E8" s="38">
        <f>C8-D8</f>
        <v/>
      </c>
      <c r="F8" s="11" t="inlineStr"/>
    </row>
    <row r="9">
      <c r="A9" s="56" t="n">
        <v>45536</v>
      </c>
      <c r="B9" s="10" t="inlineStr">
        <is>
          <t>Capital Reserves</t>
        </is>
      </c>
      <c r="C9" s="37" t="n">
        <v>2550</v>
      </c>
      <c r="D9" s="37" t="inlineStr"/>
      <c r="E9" s="37">
        <f>C9-D9</f>
        <v/>
      </c>
      <c r="F9" s="8" t="inlineStr"/>
    </row>
    <row r="10">
      <c r="A10" s="55" t="n">
        <v>45566</v>
      </c>
      <c r="B10" s="12" t="inlineStr">
        <is>
          <t>Real Estate Taxes</t>
        </is>
      </c>
      <c r="C10" s="38" t="n">
        <v>17077.08</v>
      </c>
      <c r="D10" s="38" t="inlineStr"/>
      <c r="E10" s="38">
        <f>C10-D10</f>
        <v/>
      </c>
      <c r="F10" s="11" t="inlineStr"/>
    </row>
    <row r="11">
      <c r="A11" s="56" t="n">
        <v>45566</v>
      </c>
      <c r="B11" s="10" t="inlineStr">
        <is>
          <t>Property Insurance</t>
        </is>
      </c>
      <c r="C11" s="37" t="n">
        <v>8403.58</v>
      </c>
      <c r="D11" s="37" t="inlineStr"/>
      <c r="E11" s="37">
        <f>C11-D11</f>
        <v/>
      </c>
      <c r="F11" s="8" t="inlineStr"/>
    </row>
    <row r="12">
      <c r="A12" s="55" t="n">
        <v>45566</v>
      </c>
      <c r="B12" s="12" t="inlineStr">
        <is>
          <t>Capital Reserves</t>
        </is>
      </c>
      <c r="C12" s="38" t="n">
        <v>2550</v>
      </c>
      <c r="D12" s="38" t="inlineStr"/>
      <c r="E12" s="38">
        <f>C12-D12</f>
        <v/>
      </c>
      <c r="F12" s="11" t="inlineStr"/>
    </row>
    <row r="13">
      <c r="A13" s="56" t="n">
        <v>45597</v>
      </c>
      <c r="B13" s="10" t="inlineStr">
        <is>
          <t>Real Estate Taxes</t>
        </is>
      </c>
      <c r="C13" s="37" t="n">
        <v>17077.08</v>
      </c>
      <c r="D13" s="37" t="inlineStr"/>
      <c r="E13" s="37">
        <f>C13-D13</f>
        <v/>
      </c>
      <c r="F13" s="8" t="inlineStr"/>
    </row>
    <row r="14">
      <c r="A14" s="55" t="n">
        <v>45597</v>
      </c>
      <c r="B14" s="12" t="inlineStr">
        <is>
          <t>Property Insurance</t>
        </is>
      </c>
      <c r="C14" s="38" t="n">
        <v>8403.58</v>
      </c>
      <c r="D14" s="38" t="inlineStr"/>
      <c r="E14" s="38">
        <f>C14-D14</f>
        <v/>
      </c>
      <c r="F14" s="11" t="inlineStr"/>
    </row>
    <row r="15">
      <c r="A15" s="56" t="n">
        <v>45597</v>
      </c>
      <c r="B15" s="10" t="inlineStr">
        <is>
          <t>Capital Reserves</t>
        </is>
      </c>
      <c r="C15" s="37" t="n">
        <v>2550</v>
      </c>
      <c r="D15" s="37" t="inlineStr"/>
      <c r="E15" s="37">
        <f>C15-D15</f>
        <v/>
      </c>
      <c r="F15" s="8" t="inlineStr"/>
    </row>
    <row r="16">
      <c r="A16" s="55" t="n">
        <v>45627</v>
      </c>
      <c r="B16" s="12" t="inlineStr">
        <is>
          <t>Real Estate Taxes</t>
        </is>
      </c>
      <c r="C16" s="38" t="n">
        <v>17077.08</v>
      </c>
      <c r="D16" s="38" t="inlineStr"/>
      <c r="E16" s="38">
        <f>C16-D16</f>
        <v/>
      </c>
      <c r="F16" s="11" t="inlineStr"/>
    </row>
    <row r="17">
      <c r="A17" s="56" t="n">
        <v>45627</v>
      </c>
      <c r="B17" s="10" t="inlineStr">
        <is>
          <t>Property Insurance</t>
        </is>
      </c>
      <c r="C17" s="37" t="n">
        <v>8403.58</v>
      </c>
      <c r="D17" s="37" t="inlineStr"/>
      <c r="E17" s="37">
        <f>C17-D17</f>
        <v/>
      </c>
      <c r="F17" s="8" t="inlineStr"/>
    </row>
    <row r="18">
      <c r="A18" s="55" t="n">
        <v>45627</v>
      </c>
      <c r="B18" s="12" t="inlineStr">
        <is>
          <t>Capital Reserves</t>
        </is>
      </c>
      <c r="C18" s="38" t="n">
        <v>2550</v>
      </c>
      <c r="D18" s="38" t="inlineStr"/>
      <c r="E18" s="38">
        <f>C18-D18</f>
        <v/>
      </c>
      <c r="F18" s="11" t="inlineStr"/>
    </row>
    <row r="19">
      <c r="A19" s="56" t="n">
        <v>45658</v>
      </c>
      <c r="B19" s="10" t="inlineStr">
        <is>
          <t>Real Estate Taxes</t>
        </is>
      </c>
      <c r="C19" s="37" t="n">
        <v>17077.08</v>
      </c>
      <c r="D19" s="37" t="inlineStr"/>
      <c r="E19" s="37">
        <f>C19-D19</f>
        <v/>
      </c>
      <c r="F19" s="8" t="inlineStr"/>
    </row>
    <row r="20">
      <c r="A20" s="55" t="n">
        <v>45658</v>
      </c>
      <c r="B20" s="12" t="inlineStr">
        <is>
          <t>Property Insurance</t>
        </is>
      </c>
      <c r="C20" s="38" t="n">
        <v>8403.58</v>
      </c>
      <c r="D20" s="38" t="inlineStr"/>
      <c r="E20" s="38">
        <f>C20-D20</f>
        <v/>
      </c>
      <c r="F20" s="11" t="inlineStr"/>
    </row>
    <row r="21">
      <c r="A21" s="56" t="n">
        <v>45658</v>
      </c>
      <c r="B21" s="10" t="inlineStr">
        <is>
          <t>Capital Reserves</t>
        </is>
      </c>
      <c r="C21" s="37" t="n">
        <v>2550</v>
      </c>
      <c r="D21" s="37" t="inlineStr"/>
      <c r="E21" s="37">
        <f>C21-D21</f>
        <v/>
      </c>
      <c r="F21" s="8" t="inlineStr"/>
    </row>
    <row r="22">
      <c r="A22" s="55" t="n">
        <v>45689</v>
      </c>
      <c r="B22" s="12" t="inlineStr">
        <is>
          <t>Real Estate Taxes</t>
        </is>
      </c>
      <c r="C22" s="38" t="n">
        <v>17077.08</v>
      </c>
      <c r="D22" s="38" t="inlineStr"/>
      <c r="E22" s="38">
        <f>C22-D22</f>
        <v/>
      </c>
      <c r="F22" s="11" t="inlineStr"/>
    </row>
    <row r="23">
      <c r="A23" s="56" t="n">
        <v>45689</v>
      </c>
      <c r="B23" s="10" t="inlineStr">
        <is>
          <t>Property Insurance</t>
        </is>
      </c>
      <c r="C23" s="37" t="n">
        <v>8403.58</v>
      </c>
      <c r="D23" s="37" t="inlineStr"/>
      <c r="E23" s="37">
        <f>C23-D23</f>
        <v/>
      </c>
      <c r="F23" s="8" t="inlineStr"/>
    </row>
    <row r="24">
      <c r="A24" s="55" t="n">
        <v>45689</v>
      </c>
      <c r="B24" s="12" t="inlineStr">
        <is>
          <t>Capital Reserves</t>
        </is>
      </c>
      <c r="C24" s="38" t="n">
        <v>2550</v>
      </c>
      <c r="D24" s="38" t="inlineStr"/>
      <c r="E24" s="38">
        <f>C24-D24</f>
        <v/>
      </c>
      <c r="F24" s="11" t="inlineStr"/>
    </row>
    <row r="25">
      <c r="A25" s="56" t="n">
        <v>45717</v>
      </c>
      <c r="B25" s="10" t="inlineStr">
        <is>
          <t>Real Estate Taxes</t>
        </is>
      </c>
      <c r="C25" s="37" t="n">
        <v>17077.08</v>
      </c>
      <c r="D25" s="37" t="inlineStr"/>
      <c r="E25" s="37">
        <f>C25-D25</f>
        <v/>
      </c>
      <c r="F25" s="8" t="inlineStr"/>
    </row>
    <row r="26">
      <c r="A26" s="55" t="n">
        <v>45717</v>
      </c>
      <c r="B26" s="12" t="inlineStr">
        <is>
          <t>Property Insurance</t>
        </is>
      </c>
      <c r="C26" s="38" t="n">
        <v>8403.58</v>
      </c>
      <c r="D26" s="38" t="inlineStr"/>
      <c r="E26" s="38">
        <f>C26-D26</f>
        <v/>
      </c>
      <c r="F26" s="11" t="inlineStr"/>
    </row>
    <row r="27">
      <c r="A27" s="56" t="n">
        <v>45717</v>
      </c>
      <c r="B27" s="10" t="inlineStr">
        <is>
          <t>Capital Reserves</t>
        </is>
      </c>
      <c r="C27" s="37" t="n">
        <v>2550</v>
      </c>
      <c r="D27" s="37" t="inlineStr"/>
      <c r="E27" s="37">
        <f>C27-D27</f>
        <v/>
      </c>
      <c r="F27" s="8" t="inlineStr"/>
    </row>
    <row r="28">
      <c r="A28" s="55" t="n">
        <v>45748</v>
      </c>
      <c r="B28" s="12" t="inlineStr">
        <is>
          <t>Real Estate Taxes</t>
        </is>
      </c>
      <c r="C28" s="38" t="n">
        <v>17077.08</v>
      </c>
      <c r="D28" s="38" t="inlineStr"/>
      <c r="E28" s="38">
        <f>C28-D28</f>
        <v/>
      </c>
      <c r="F28" s="11" t="inlineStr"/>
    </row>
    <row r="29">
      <c r="A29" s="56" t="n">
        <v>45748</v>
      </c>
      <c r="B29" s="10" t="inlineStr">
        <is>
          <t>Property Insurance</t>
        </is>
      </c>
      <c r="C29" s="37" t="n">
        <v>8403.58</v>
      </c>
      <c r="D29" s="37" t="inlineStr"/>
      <c r="E29" s="37">
        <f>C29-D29</f>
        <v/>
      </c>
      <c r="F29" s="8" t="inlineStr"/>
    </row>
    <row r="30">
      <c r="A30" s="55" t="n">
        <v>45748</v>
      </c>
      <c r="B30" s="12" t="inlineStr">
        <is>
          <t>Capital Reserves</t>
        </is>
      </c>
      <c r="C30" s="38" t="n">
        <v>2550</v>
      </c>
      <c r="D30" s="38" t="inlineStr"/>
      <c r="E30" s="38">
        <f>C30-D30</f>
        <v/>
      </c>
      <c r="F30" s="11" t="inlineStr"/>
    </row>
    <row r="31">
      <c r="A31" s="56" t="n">
        <v>45778</v>
      </c>
      <c r="B31" s="10" t="inlineStr">
        <is>
          <t>Real Estate Taxes</t>
        </is>
      </c>
      <c r="C31" s="37" t="n">
        <v>17077.08</v>
      </c>
      <c r="D31" s="37" t="inlineStr"/>
      <c r="E31" s="37">
        <f>C31-D31</f>
        <v/>
      </c>
      <c r="F31" s="8" t="inlineStr"/>
    </row>
    <row r="32">
      <c r="A32" s="55" t="n">
        <v>45778</v>
      </c>
      <c r="B32" s="12" t="inlineStr">
        <is>
          <t>Property Insurance</t>
        </is>
      </c>
      <c r="C32" s="38" t="n">
        <v>8403.58</v>
      </c>
      <c r="D32" s="38" t="inlineStr"/>
      <c r="E32" s="38">
        <f>C32-D32</f>
        <v/>
      </c>
      <c r="F32" s="11" t="inlineStr"/>
    </row>
    <row r="33">
      <c r="A33" s="56" t="n">
        <v>45778</v>
      </c>
      <c r="B33" s="10" t="inlineStr">
        <is>
          <t>Capital Reserves</t>
        </is>
      </c>
      <c r="C33" s="37" t="n">
        <v>2550</v>
      </c>
      <c r="D33" s="37" t="inlineStr"/>
      <c r="E33" s="37">
        <f>C33-D33</f>
        <v/>
      </c>
      <c r="F33" s="8" t="inlineStr"/>
    </row>
    <row r="34">
      <c r="A34" s="55" t="n">
        <v>45809</v>
      </c>
      <c r="B34" s="12" t="inlineStr">
        <is>
          <t>Real Estate Taxes</t>
        </is>
      </c>
      <c r="C34" s="38" t="n">
        <v>17077.08</v>
      </c>
      <c r="D34" s="38" t="inlineStr"/>
      <c r="E34" s="38">
        <f>C34-D34</f>
        <v/>
      </c>
      <c r="F34" s="11" t="inlineStr"/>
    </row>
    <row r="35">
      <c r="A35" s="56" t="n">
        <v>45809</v>
      </c>
      <c r="B35" s="10" t="inlineStr">
        <is>
          <t>Property Insurance</t>
        </is>
      </c>
      <c r="C35" s="37" t="n">
        <v>8403.58</v>
      </c>
      <c r="D35" s="37" t="inlineStr"/>
      <c r="E35" s="37">
        <f>C35-D35</f>
        <v/>
      </c>
      <c r="F35" s="8" t="inlineStr"/>
    </row>
    <row r="36">
      <c r="A36" s="55" t="n">
        <v>45809</v>
      </c>
      <c r="B36" s="12" t="inlineStr">
        <is>
          <t>Capital Reserves</t>
        </is>
      </c>
      <c r="C36" s="38" t="n">
        <v>2550</v>
      </c>
      <c r="D36" s="38" t="inlineStr"/>
      <c r="E36" s="38">
        <f>C36-D36</f>
        <v/>
      </c>
      <c r="F36" s="11" t="inlineStr"/>
    </row>
    <row r="37">
      <c r="A37" s="56" t="n">
        <v>45839</v>
      </c>
      <c r="B37" s="10" t="inlineStr">
        <is>
          <t>Real Estate Taxes</t>
        </is>
      </c>
      <c r="C37" s="37" t="n">
        <v>17077.08</v>
      </c>
      <c r="D37" s="37" t="inlineStr"/>
      <c r="E37" s="37">
        <f>C37-D37</f>
        <v/>
      </c>
      <c r="F37" s="8" t="inlineStr"/>
    </row>
    <row r="38">
      <c r="A38" s="55" t="n">
        <v>45839</v>
      </c>
      <c r="B38" s="12" t="inlineStr">
        <is>
          <t>Property Insurance</t>
        </is>
      </c>
      <c r="C38" s="38" t="n">
        <v>8403.58</v>
      </c>
      <c r="D38" s="38" t="inlineStr"/>
      <c r="E38" s="38">
        <f>C38-D38</f>
        <v/>
      </c>
      <c r="F38" s="11" t="inlineStr"/>
    </row>
    <row r="39">
      <c r="A39" s="56" t="n">
        <v>45839</v>
      </c>
      <c r="B39" s="10" t="inlineStr">
        <is>
          <t>Capital Reserves</t>
        </is>
      </c>
      <c r="C39" s="37" t="n">
        <v>2550</v>
      </c>
      <c r="D39" s="37" t="inlineStr"/>
      <c r="E39" s="37">
        <f>C39-D39</f>
        <v/>
      </c>
      <c r="F39" s="8" t="inlineStr"/>
    </row>
    <row r="40">
      <c r="A40" s="55" t="n">
        <v>45870</v>
      </c>
      <c r="B40" s="12" t="inlineStr">
        <is>
          <t>Real Estate Taxes</t>
        </is>
      </c>
      <c r="C40" s="38" t="n">
        <v>17077.08</v>
      </c>
      <c r="D40" s="38" t="inlineStr"/>
      <c r="E40" s="38">
        <f>C40-D40</f>
        <v/>
      </c>
      <c r="F40" s="11" t="inlineStr"/>
    </row>
    <row r="41">
      <c r="A41" s="56" t="n">
        <v>45870</v>
      </c>
      <c r="B41" s="10" t="inlineStr">
        <is>
          <t>Property Insurance</t>
        </is>
      </c>
      <c r="C41" s="37" t="n">
        <v>8403.58</v>
      </c>
      <c r="D41" s="37" t="inlineStr"/>
      <c r="E41" s="37">
        <f>C41-D41</f>
        <v/>
      </c>
      <c r="F41" s="8" t="inlineStr"/>
    </row>
    <row r="42">
      <c r="A42" s="55" t="n">
        <v>45870</v>
      </c>
      <c r="B42" s="12" t="inlineStr">
        <is>
          <t>Capital Reserves</t>
        </is>
      </c>
      <c r="C42" s="38" t="n">
        <v>2550</v>
      </c>
      <c r="D42" s="38" t="inlineStr"/>
      <c r="E42" s="38">
        <f>C42-D42</f>
        <v/>
      </c>
      <c r="F42" s="11" t="inlineStr"/>
    </row>
    <row r="43">
      <c r="A43" s="56" t="n">
        <v>45901</v>
      </c>
      <c r="B43" s="10" t="inlineStr">
        <is>
          <t>Real Estate Taxes</t>
        </is>
      </c>
      <c r="C43" s="37" t="n">
        <v>17077.08</v>
      </c>
      <c r="D43" s="37" t="inlineStr"/>
      <c r="E43" s="37">
        <f>C43-D43</f>
        <v/>
      </c>
      <c r="F43" s="8" t="inlineStr"/>
    </row>
    <row r="44">
      <c r="A44" s="55" t="n">
        <v>45901</v>
      </c>
      <c r="B44" s="12" t="inlineStr">
        <is>
          <t>Property Insurance</t>
        </is>
      </c>
      <c r="C44" s="38" t="n">
        <v>8403.58</v>
      </c>
      <c r="D44" s="38" t="inlineStr"/>
      <c r="E44" s="38">
        <f>C44-D44</f>
        <v/>
      </c>
      <c r="F44" s="11" t="inlineStr"/>
    </row>
    <row r="45">
      <c r="A45" s="56" t="n">
        <v>45901</v>
      </c>
      <c r="B45" s="10" t="inlineStr">
        <is>
          <t>Capital Reserves</t>
        </is>
      </c>
      <c r="C45" s="37" t="n">
        <v>2550</v>
      </c>
      <c r="D45" s="37" t="inlineStr"/>
      <c r="E45" s="37">
        <f>C45-D45</f>
        <v/>
      </c>
      <c r="F45" s="8" t="inlineStr"/>
    </row>
    <row r="46">
      <c r="A46" s="55" t="n">
        <v>45931</v>
      </c>
      <c r="B46" s="12" t="inlineStr">
        <is>
          <t>Real Estate Taxes</t>
        </is>
      </c>
      <c r="C46" s="38" t="n">
        <v>17077.08</v>
      </c>
      <c r="D46" s="38" t="inlineStr"/>
      <c r="E46" s="38">
        <f>C46-D46</f>
        <v/>
      </c>
      <c r="F46" s="11" t="inlineStr"/>
    </row>
    <row r="47">
      <c r="A47" s="56" t="n">
        <v>45931</v>
      </c>
      <c r="B47" s="10" t="inlineStr">
        <is>
          <t>Property Insurance</t>
        </is>
      </c>
      <c r="C47" s="37" t="n">
        <v>8403.58</v>
      </c>
      <c r="D47" s="37" t="inlineStr"/>
      <c r="E47" s="37">
        <f>C47-D47</f>
        <v/>
      </c>
      <c r="F47" s="8" t="inlineStr"/>
    </row>
    <row r="48">
      <c r="A48" s="55" t="n">
        <v>45931</v>
      </c>
      <c r="B48" s="12" t="inlineStr">
        <is>
          <t>Capital Reserves</t>
        </is>
      </c>
      <c r="C48" s="38" t="n">
        <v>2550</v>
      </c>
      <c r="D48" s="38" t="inlineStr"/>
      <c r="E48" s="38">
        <f>C48-D48</f>
        <v/>
      </c>
      <c r="F48" s="11" t="inlineStr"/>
    </row>
    <row r="49">
      <c r="A49" s="56" t="n">
        <v>45962</v>
      </c>
      <c r="B49" s="10" t="inlineStr">
        <is>
          <t>Real Estate Taxes</t>
        </is>
      </c>
      <c r="C49" s="37" t="n">
        <v>17077.08</v>
      </c>
      <c r="D49" s="37" t="inlineStr"/>
      <c r="E49" s="37">
        <f>C49-D49</f>
        <v/>
      </c>
      <c r="F49" s="8" t="inlineStr"/>
    </row>
    <row r="50">
      <c r="A50" s="55" t="n">
        <v>45962</v>
      </c>
      <c r="B50" s="12" t="inlineStr">
        <is>
          <t>Property Insurance</t>
        </is>
      </c>
      <c r="C50" s="38" t="n">
        <v>8403.58</v>
      </c>
      <c r="D50" s="38" t="inlineStr"/>
      <c r="E50" s="38">
        <f>C50-D50</f>
        <v/>
      </c>
      <c r="F50" s="11" t="inlineStr"/>
    </row>
    <row r="51">
      <c r="A51" s="56" t="n">
        <v>45962</v>
      </c>
      <c r="B51" s="10" t="inlineStr">
        <is>
          <t>Capital Reserves</t>
        </is>
      </c>
      <c r="C51" s="37" t="n">
        <v>2550</v>
      </c>
      <c r="D51" s="37" t="inlineStr"/>
      <c r="E51" s="37">
        <f>C51-D51</f>
        <v/>
      </c>
      <c r="F51" s="8" t="inlineStr"/>
    </row>
    <row r="52">
      <c r="A52" s="55" t="n">
        <v>45992</v>
      </c>
      <c r="B52" s="12" t="inlineStr">
        <is>
          <t>Real Estate Taxes</t>
        </is>
      </c>
      <c r="C52" s="38" t="n">
        <v>17077.08</v>
      </c>
      <c r="D52" s="38" t="inlineStr"/>
      <c r="E52" s="38">
        <f>C52-D52</f>
        <v/>
      </c>
      <c r="F52" s="11" t="inlineStr"/>
    </row>
    <row r="53">
      <c r="A53" s="56" t="n">
        <v>45992</v>
      </c>
      <c r="B53" s="10" t="inlineStr">
        <is>
          <t>Property Insurance</t>
        </is>
      </c>
      <c r="C53" s="37" t="n">
        <v>8403.58</v>
      </c>
      <c r="D53" s="37" t="inlineStr"/>
      <c r="E53" s="37">
        <f>C53-D53</f>
        <v/>
      </c>
      <c r="F53" s="8" t="inlineStr"/>
    </row>
    <row r="54">
      <c r="A54" s="55" t="n">
        <v>45992</v>
      </c>
      <c r="B54" s="12" t="inlineStr">
        <is>
          <t>Capital Reserves</t>
        </is>
      </c>
      <c r="C54" s="38" t="n">
        <v>2550</v>
      </c>
      <c r="D54" s="38" t="inlineStr"/>
      <c r="E54" s="38">
        <f>C54-D54</f>
        <v/>
      </c>
      <c r="F54" s="11" t="inlineStr"/>
    </row>
    <row r="55">
      <c r="A55" s="56" t="n">
        <v>45627</v>
      </c>
      <c r="B55" s="10" t="inlineStr">
        <is>
          <t>Real Estate Taxes</t>
        </is>
      </c>
      <c r="C55" s="37" t="inlineStr"/>
      <c r="D55" s="37" t="n">
        <v>204925</v>
      </c>
      <c r="E55" s="37">
        <f>C55-D55</f>
        <v/>
      </c>
      <c r="F55" s="8" t="inlineStr">
        <is>
          <t>Annual tax payment</t>
        </is>
      </c>
    </row>
    <row r="56">
      <c r="A56" s="55" t="inlineStr">
        <is>
          <t>EscrowName</t>
        </is>
      </c>
      <c r="B56" s="12" t="inlineStr">
        <is>
          <t>TargetBalance</t>
        </is>
      </c>
      <c r="C56" s="38" t="inlineStr"/>
      <c r="D56" s="38" t="inlineStr"/>
      <c r="E56" s="38">
        <f>C56-D56</f>
        <v/>
      </c>
      <c r="F56" s="11" t="inlineStr"/>
    </row>
    <row r="57">
      <c r="A57" s="56" t="inlineStr">
        <is>
          <t>Real Estat</t>
        </is>
      </c>
      <c r="B57" s="10" t="inlineStr">
        <is>
          <t>46244.76</t>
        </is>
      </c>
      <c r="C57" s="37" t="inlineStr"/>
      <c r="D57" s="37" t="inlineStr"/>
      <c r="E57" s="37">
        <f>C57-D57</f>
        <v/>
      </c>
      <c r="F57" s="8" t="inlineStr"/>
    </row>
    <row r="58">
      <c r="A58" s="55" t="inlineStr">
        <is>
          <t>Property I</t>
        </is>
      </c>
      <c r="B58" s="12" t="inlineStr">
        <is>
          <t>80409.86</t>
        </is>
      </c>
      <c r="C58" s="38" t="inlineStr"/>
      <c r="D58" s="38" t="inlineStr"/>
      <c r="E58" s="38">
        <f>C58-D58</f>
        <v/>
      </c>
      <c r="F58" s="11" t="inlineStr"/>
    </row>
    <row r="59">
      <c r="A59" s="56" t="inlineStr">
        <is>
          <t>Capital Re</t>
        </is>
      </c>
      <c r="B59" s="10" t="inlineStr">
        <is>
          <t>121446.65</t>
        </is>
      </c>
      <c r="C59" s="37" t="inlineStr"/>
      <c r="D59" s="37" t="inlineStr"/>
      <c r="E59" s="37">
        <f>C59-D59</f>
        <v/>
      </c>
      <c r="F59" s="8" t="inlineStr"/>
    </row>
    <row r="60">
      <c r="A60" s="40" t="inlineStr">
        <is>
          <t>TOTAL</t>
        </is>
      </c>
      <c r="B60" s="39" t="n"/>
      <c r="C60" s="41">
        <f>SUM(C4:C59)</f>
        <v/>
      </c>
      <c r="D60" s="41">
        <f>SUM(D4:D59)</f>
        <v/>
      </c>
      <c r="E60" s="41">
        <f>SUM(E4:E59)</f>
        <v/>
      </c>
      <c r="F60" s="40" t="n"/>
    </row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12" customWidth="1" min="4" max="4"/>
    <col width="20" customWidth="1" min="5" max="5"/>
    <col hidden="1" min="6" max="6"/>
    <col hidden="1" min="7" max="7"/>
    <col hidden="1" min="8" max="8"/>
    <col hidden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CapEx Profile</t>
        </is>
      </c>
      <c r="B1" s="3" t="n"/>
      <c r="C1" s="3" t="n"/>
      <c r="D1" s="3" t="n"/>
      <c r="E1" s="3" t="n"/>
    </row>
    <row r="2" ht="18" customHeight="1">
      <c r="A2" s="4" t="inlineStr">
        <is>
          <t>Building system condition assessment  |  Year built: 1967</t>
        </is>
      </c>
      <c r="B2" s="5" t="n"/>
      <c r="C2" s="5" t="n"/>
      <c r="D2" s="5" t="n"/>
      <c r="E2" s="5" t="n"/>
    </row>
    <row r="3" ht="20" customHeight="1">
      <c r="A3" s="7" t="inlineStr">
        <is>
          <t>Section</t>
        </is>
      </c>
      <c r="B3" s="7" t="inlineStr">
        <is>
          <t>Detail</t>
        </is>
      </c>
      <c r="C3" s="7" t="inlineStr">
        <is>
          <t>Updated / Age</t>
        </is>
      </c>
      <c r="D3" s="7" t="inlineStr">
        <is>
          <t>Status</t>
        </is>
      </c>
      <c r="E3" s="7" t="inlineStr">
        <is>
          <t>Notes</t>
        </is>
      </c>
    </row>
    <row r="4" ht="20" customHeight="1">
      <c r="A4" s="6" t="inlineStr">
        <is>
          <t>PROPERTY OVERVIEW</t>
        </is>
      </c>
      <c r="B4" s="6" t="n"/>
      <c r="C4" s="6" t="n"/>
      <c r="D4" s="6" t="n"/>
      <c r="E4" s="6" t="n"/>
    </row>
    <row r="5">
      <c r="A5" s="8" t="inlineStr">
        <is>
          <t>PROPERTY OVERVIEW</t>
        </is>
      </c>
      <c r="B5" s="10" t="inlineStr">
        <is>
          <t>60×1BR/1BA (765sf) + 60×2BR/1BA (890sf) = 120 units</t>
        </is>
      </c>
      <c r="C5" s="8" t="inlineStr"/>
      <c r="D5" s="10" t="inlineStr"/>
      <c r="E5" s="23" t="n"/>
    </row>
    <row r="6">
      <c r="A6" s="11" t="inlineStr">
        <is>
          <t>PROPERTY OVERVIEW</t>
        </is>
      </c>
      <c r="B6" s="12" t="inlineStr">
        <is>
          <t>50 units renovated / 70 classic or mid-tier</t>
        </is>
      </c>
      <c r="C6" s="11" t="inlineStr"/>
      <c r="D6" s="12" t="inlineStr"/>
      <c r="E6" s="20" t="n"/>
    </row>
    <row r="7">
      <c r="A7" s="8" t="inlineStr">
        <is>
          <t>PROPERTY OVERVIEW</t>
        </is>
      </c>
      <c r="B7" s="10" t="inlineStr">
        <is>
          <t>5 residential 24-unit bldgs, 6 garage bldgs, 1 clubhouse</t>
        </is>
      </c>
      <c r="C7" s="8" t="inlineStr"/>
      <c r="D7" s="10" t="inlineStr"/>
      <c r="E7" s="23" t="n"/>
    </row>
    <row r="8">
      <c r="A8" s="11" t="inlineStr">
        <is>
          <t>PROPERTY OVERVIEW</t>
        </is>
      </c>
      <c r="B8" s="12" t="inlineStr">
        <is>
          <t>126 total (120 resident, 6 maintenance)</t>
        </is>
      </c>
      <c r="C8" s="11" t="inlineStr"/>
      <c r="D8" s="12" t="inlineStr"/>
      <c r="E8" s="20" t="n"/>
    </row>
    <row r="9">
      <c r="A9" s="8" t="inlineStr">
        <is>
          <t>PROPERTY OVERVIEW</t>
        </is>
      </c>
      <c r="B9" s="10" t="inlineStr">
        <is>
          <t>Current Condition &amp; History</t>
        </is>
      </c>
      <c r="C9" s="8" t="inlineStr">
        <is>
          <t>Updated</t>
        </is>
      </c>
      <c r="D9" s="10" t="inlineStr">
        <is>
          <t>Status</t>
        </is>
      </c>
      <c r="E9" s="23" t="n"/>
    </row>
    <row r="10" ht="20" customHeight="1">
      <c r="A10" s="6" t="inlineStr">
        <is>
          <t>ROOFS</t>
        </is>
      </c>
      <c r="B10" s="6" t="n"/>
      <c r="C10" s="6" t="n"/>
      <c r="D10" s="6" t="n"/>
      <c r="E10" s="6" t="n"/>
    </row>
    <row r="11">
      <c r="A11" s="8" t="inlineStr">
        <is>
          <t>ROOFS</t>
        </is>
      </c>
      <c r="B11" s="10" t="inlineStr">
        <is>
          <t>Flat rubber membrane EPDM roofs</t>
        </is>
      </c>
      <c r="C11" s="8" t="inlineStr"/>
      <c r="D11" s="10" t="inlineStr"/>
      <c r="E11" s="23" t="n"/>
    </row>
    <row r="12">
      <c r="A12" s="16" t="inlineStr">
        <is>
          <t>ROOFS</t>
        </is>
      </c>
      <c r="B12" s="57" t="inlineStr">
        <is>
          <t>4/5 roofs replaced w/ transferrable 30-yr warranty</t>
        </is>
      </c>
      <c r="C12" s="16" t="inlineStr">
        <is>
          <t>2018</t>
        </is>
      </c>
      <c r="D12" s="14" t="inlineStr">
        <is>
          <t>Good</t>
        </is>
      </c>
      <c r="E12" s="17" t="n"/>
    </row>
    <row r="13">
      <c r="A13" s="8" t="inlineStr">
        <is>
          <t>ROOFS</t>
        </is>
      </c>
      <c r="B13" s="10" t="inlineStr">
        <is>
          <t>Remaining older roof replaced</t>
        </is>
      </c>
      <c r="C13" s="8" t="inlineStr">
        <is>
          <t>2009</t>
        </is>
      </c>
      <c r="D13" s="10" t="inlineStr">
        <is>
          <t>Monitor</t>
        </is>
      </c>
      <c r="E13" s="23" t="n"/>
    </row>
    <row r="14" ht="20" customHeight="1">
      <c r="A14" s="6" t="inlineStr">
        <is>
          <t>ELECTRICAL</t>
        </is>
      </c>
      <c r="B14" s="6" t="n"/>
      <c r="C14" s="6" t="n"/>
      <c r="D14" s="6" t="n"/>
      <c r="E14" s="6" t="n"/>
    </row>
    <row r="15">
      <c r="A15" s="16" t="inlineStr">
        <is>
          <t>ELECTRICAL</t>
        </is>
      </c>
      <c r="B15" s="57" t="inlineStr">
        <is>
          <t>100 amp service throughout</t>
        </is>
      </c>
      <c r="C15" s="16" t="inlineStr">
        <is>
          <t>1993</t>
        </is>
      </c>
      <c r="D15" s="14" t="inlineStr">
        <is>
          <t>Good</t>
        </is>
      </c>
      <c r="E15" s="17" t="n"/>
    </row>
    <row r="16">
      <c r="A16" s="16" t="inlineStr">
        <is>
          <t>ELECTRICAL</t>
        </is>
      </c>
      <c r="B16" s="57" t="inlineStr">
        <is>
          <t>Exterior LED lighting systems</t>
        </is>
      </c>
      <c r="C16" s="16" t="inlineStr">
        <is>
          <t>2018</t>
        </is>
      </c>
      <c r="D16" s="14" t="inlineStr">
        <is>
          <t>Good</t>
        </is>
      </c>
      <c r="E16" s="17" t="n"/>
    </row>
    <row r="17">
      <c r="A17" s="16" t="inlineStr">
        <is>
          <t>ELECTRICAL</t>
        </is>
      </c>
      <c r="B17" s="57" t="inlineStr">
        <is>
          <t>Security systems</t>
        </is>
      </c>
      <c r="C17" s="16" t="inlineStr">
        <is>
          <t>2019</t>
        </is>
      </c>
      <c r="D17" s="14" t="inlineStr">
        <is>
          <t>Good</t>
        </is>
      </c>
      <c r="E17" s="17" t="n"/>
    </row>
    <row r="18" ht="20" customHeight="1">
      <c r="A18" s="6" t="inlineStr">
        <is>
          <t>HVAC / WATER / FIRE</t>
        </is>
      </c>
      <c r="B18" s="6" t="n"/>
      <c r="C18" s="6" t="n"/>
      <c r="D18" s="6" t="n"/>
      <c r="E18" s="6" t="n"/>
    </row>
    <row r="19">
      <c r="A19" s="8" t="inlineStr">
        <is>
          <t>HVAC / WATER / FIRE</t>
        </is>
      </c>
      <c r="B19" s="10" t="inlineStr">
        <is>
          <t>120v sleeve AC units</t>
        </is>
      </c>
      <c r="C19" s="8" t="inlineStr">
        <is>
          <t>Original</t>
        </is>
      </c>
      <c r="D19" s="10" t="inlineStr">
        <is>
          <t>Monitor</t>
        </is>
      </c>
      <c r="E19" s="23" t="n"/>
    </row>
    <row r="20">
      <c r="A20" s="16" t="inlineStr">
        <is>
          <t>HVAC / WATER / FIRE</t>
        </is>
      </c>
      <c r="B20" s="57" t="inlineStr">
        <is>
          <t>Boilers — 7/10 replaced since 2017</t>
        </is>
      </c>
      <c r="C20" s="16" t="inlineStr">
        <is>
          <t>2017+</t>
        </is>
      </c>
      <c r="D20" s="14" t="inlineStr">
        <is>
          <t>Good</t>
        </is>
      </c>
      <c r="E20" s="17" t="n"/>
    </row>
    <row r="21">
      <c r="A21" s="16" t="inlineStr">
        <is>
          <t>HVAC / WATER / FIRE</t>
        </is>
      </c>
      <c r="B21" s="57" t="inlineStr">
        <is>
          <t>Baseboard heat in units</t>
        </is>
      </c>
      <c r="C21" s="16" t="inlineStr">
        <is>
          <t>1993</t>
        </is>
      </c>
      <c r="D21" s="14" t="inlineStr">
        <is>
          <t>Good</t>
        </is>
      </c>
      <c r="E21" s="17" t="n"/>
    </row>
    <row r="22">
      <c r="A22" s="16" t="inlineStr">
        <is>
          <t>HVAC / WATER / FIRE</t>
        </is>
      </c>
      <c r="B22" s="57" t="inlineStr">
        <is>
          <t>Rheem 100G water heaters — all replaced within 6 yrs</t>
        </is>
      </c>
      <c r="C22" s="16" t="inlineStr">
        <is>
          <t>2019+</t>
        </is>
      </c>
      <c r="D22" s="14" t="inlineStr">
        <is>
          <t>Good</t>
        </is>
      </c>
      <c r="E22" s="17" t="n"/>
    </row>
    <row r="23">
      <c r="A23" s="16" t="inlineStr">
        <is>
          <t>HVAC / WATER / FIRE</t>
        </is>
      </c>
      <c r="B23" s="57" t="inlineStr">
        <is>
          <t>New fire control panels</t>
        </is>
      </c>
      <c r="C23" s="16" t="inlineStr">
        <is>
          <t>Recent</t>
        </is>
      </c>
      <c r="D23" s="14" t="inlineStr">
        <is>
          <t>Good</t>
        </is>
      </c>
      <c r="E23" s="17" t="n"/>
    </row>
    <row r="24" ht="20" customHeight="1">
      <c r="A24" s="6" t="inlineStr">
        <is>
          <t>PLUMBING</t>
        </is>
      </c>
      <c r="B24" s="6" t="n"/>
      <c r="C24" s="6" t="n"/>
      <c r="D24" s="6" t="n"/>
      <c r="E24" s="6" t="n"/>
    </row>
    <row r="25">
      <c r="A25" s="16" t="inlineStr">
        <is>
          <t>PLUMBING</t>
        </is>
      </c>
      <c r="B25" s="57" t="inlineStr">
        <is>
          <t>Water mains replaced within 8 years</t>
        </is>
      </c>
      <c r="C25" s="16" t="inlineStr">
        <is>
          <t>2017+</t>
        </is>
      </c>
      <c r="D25" s="14" t="inlineStr">
        <is>
          <t>Good</t>
        </is>
      </c>
      <c r="E25" s="17" t="n"/>
    </row>
    <row r="26">
      <c r="A26" s="16" t="inlineStr">
        <is>
          <t>PLUMBING</t>
        </is>
      </c>
      <c r="B26" s="57" t="inlineStr">
        <is>
          <t>Majority Pex/Copper piping</t>
        </is>
      </c>
      <c r="C26" s="16" t="inlineStr">
        <is>
          <t>Recent</t>
        </is>
      </c>
      <c r="D26" s="14" t="inlineStr">
        <is>
          <t>Good</t>
        </is>
      </c>
      <c r="E26" s="17" t="n"/>
    </row>
    <row r="27" ht="20" customHeight="1">
      <c r="A27" s="6" t="inlineStr">
        <is>
          <t>PAVEMENT</t>
        </is>
      </c>
      <c r="B27" s="6" t="n"/>
      <c r="C27" s="6" t="n"/>
      <c r="D27" s="6" t="n"/>
      <c r="E27" s="6" t="n"/>
    </row>
    <row r="28">
      <c r="A28" s="16" t="inlineStr">
        <is>
          <t>PAVEMENT</t>
        </is>
      </c>
      <c r="B28" s="57" t="inlineStr">
        <is>
          <t>Patching, seal coating, striping</t>
        </is>
      </c>
      <c r="C28" s="16" t="inlineStr">
        <is>
          <t>2023</t>
        </is>
      </c>
      <c r="D28" s="14" t="inlineStr">
        <is>
          <t>Good</t>
        </is>
      </c>
      <c r="E28" s="17" t="n"/>
    </row>
    <row r="29">
      <c r="A29" s="16" t="inlineStr">
        <is>
          <t>PAVEMENT</t>
        </is>
      </c>
      <c r="B29" s="57" t="inlineStr">
        <is>
          <t>Fresh patching + seal coat planned</t>
        </is>
      </c>
      <c r="C29" s="16" t="inlineStr">
        <is>
          <t>2025</t>
        </is>
      </c>
      <c r="D29" s="14" t="inlineStr">
        <is>
          <t>Good</t>
        </is>
      </c>
      <c r="E29" s="17" t="n"/>
    </row>
    <row r="30" ht="20" customHeight="1">
      <c r="A30" s="6" t="inlineStr">
        <is>
          <t>CONCRETE / LANDSCAPING</t>
        </is>
      </c>
      <c r="B30" s="6" t="n"/>
      <c r="C30" s="6" t="n"/>
      <c r="D30" s="6" t="n"/>
      <c r="E30" s="6" t="n"/>
    </row>
    <row r="31">
      <c r="A31" s="16" t="inlineStr">
        <is>
          <t>CONCRETE / LANDSCAPING</t>
        </is>
      </c>
      <c r="B31" s="57" t="inlineStr">
        <is>
          <t>Sidewalks replaced</t>
        </is>
      </c>
      <c r="C31" s="16" t="inlineStr">
        <is>
          <t>2019</t>
        </is>
      </c>
      <c r="D31" s="14" t="inlineStr">
        <is>
          <t>Good</t>
        </is>
      </c>
      <c r="E31" s="17" t="n"/>
    </row>
    <row r="32">
      <c r="A32" s="16" t="inlineStr">
        <is>
          <t>CONCRETE / LANDSCAPING</t>
        </is>
      </c>
      <c r="B32" s="57" t="inlineStr">
        <is>
          <t>French drains on 4/5 buildings</t>
        </is>
      </c>
      <c r="C32" s="16" t="inlineStr">
        <is>
          <t>2019/23</t>
        </is>
      </c>
      <c r="D32" s="14" t="inlineStr">
        <is>
          <t>Good</t>
        </is>
      </c>
      <c r="E32" s="17" t="n"/>
    </row>
    <row r="33" ht="20" customHeight="1">
      <c r="A33" s="6" t="inlineStr">
        <is>
          <t>GARAGES</t>
        </is>
      </c>
      <c r="B33" s="6" t="n"/>
      <c r="C33" s="6" t="n"/>
      <c r="D33" s="6" t="n"/>
      <c r="E33" s="6" t="n"/>
    </row>
    <row r="34">
      <c r="A34" s="16" t="inlineStr">
        <is>
          <t>GARAGES</t>
        </is>
      </c>
      <c r="B34" s="57" t="inlineStr">
        <is>
          <t>126 garages — repainted</t>
        </is>
      </c>
      <c r="C34" s="16" t="inlineStr">
        <is>
          <t>2022</t>
        </is>
      </c>
      <c r="D34" s="14" t="inlineStr">
        <is>
          <t>Good</t>
        </is>
      </c>
      <c r="E34" s="17" t="n"/>
    </row>
    <row r="35" ht="20" customHeight="1">
      <c r="A35" s="6" t="inlineStr">
        <is>
          <t>WINDOWS / DOORS</t>
        </is>
      </c>
      <c r="B35" s="6" t="n"/>
      <c r="C35" s="6" t="n"/>
      <c r="D35" s="6" t="n"/>
      <c r="E35" s="6" t="n"/>
    </row>
    <row r="36">
      <c r="A36" s="11" t="inlineStr">
        <is>
          <t>WINDOWS / DOORS</t>
        </is>
      </c>
      <c r="B36" s="12" t="inlineStr">
        <is>
          <t>Double-paned glass throughout — partially updated</t>
        </is>
      </c>
      <c r="C36" s="11" t="inlineStr">
        <is>
          <t>Original</t>
        </is>
      </c>
      <c r="D36" s="58" t="inlineStr">
        <is>
          <t>Watch</t>
        </is>
      </c>
      <c r="E36" s="20" t="n"/>
    </row>
    <row r="37" ht="20" customHeight="1">
      <c r="A37" s="6" t="inlineStr">
        <is>
          <t>EXTERIOR</t>
        </is>
      </c>
      <c r="B37" s="6" t="n"/>
      <c r="C37" s="6" t="n"/>
      <c r="D37" s="6" t="n"/>
      <c r="E37" s="6" t="n"/>
    </row>
    <row r="38">
      <c r="A38" s="16" t="inlineStr">
        <is>
          <t>EXTERIOR</t>
        </is>
      </c>
      <c r="B38" s="57" t="inlineStr">
        <is>
          <t>All brick — no issues, good condition</t>
        </is>
      </c>
      <c r="C38" s="16" t="inlineStr">
        <is>
          <t>1967</t>
        </is>
      </c>
      <c r="D38" s="14" t="inlineStr">
        <is>
          <t>Good</t>
        </is>
      </c>
      <c r="E38" s="17" t="n"/>
    </row>
    <row r="39">
      <c r="A39" s="8" t="inlineStr">
        <is>
          <t>EXTERIOR</t>
        </is>
      </c>
      <c r="B39" s="10" t="inlineStr">
        <is>
          <t>Building painting planned for curb appeal</t>
        </is>
      </c>
      <c r="C39" s="8" t="inlineStr">
        <is>
          <t>Planned</t>
        </is>
      </c>
      <c r="D39" s="59" t="inlineStr">
        <is>
          <t>Planned</t>
        </is>
      </c>
      <c r="E39" s="23" t="n"/>
    </row>
    <row r="40" ht="20" customHeight="1">
      <c r="A40" s="6" t="inlineStr">
        <is>
          <t>INTERIOR / COMMON</t>
        </is>
      </c>
      <c r="B40" s="6" t="n"/>
      <c r="C40" s="6" t="n"/>
      <c r="D40" s="6" t="n"/>
      <c r="E40" s="6" t="n"/>
    </row>
    <row r="41">
      <c r="A41" s="16" t="inlineStr">
        <is>
          <t>INTERIOR / COMMON</t>
        </is>
      </c>
      <c r="B41" s="57" t="inlineStr">
        <is>
          <t>New common spaces — flooring, paint, lighting</t>
        </is>
      </c>
      <c r="C41" s="16" t="inlineStr">
        <is>
          <t>2024</t>
        </is>
      </c>
      <c r="D41" s="14" t="inlineStr">
        <is>
          <t>Good</t>
        </is>
      </c>
      <c r="E41" s="17" t="n"/>
    </row>
    <row r="42">
      <c r="A42" s="16" t="inlineStr">
        <is>
          <t>INTERIOR / COMMON</t>
        </is>
      </c>
      <c r="B42" s="57" t="inlineStr">
        <is>
          <t>Entryways replaced</t>
        </is>
      </c>
      <c r="C42" s="16" t="inlineStr">
        <is>
          <t>2018</t>
        </is>
      </c>
      <c r="D42" s="14" t="inlineStr">
        <is>
          <t>Good</t>
        </is>
      </c>
      <c r="E42" s="17" t="n"/>
    </row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Refinance Stress Test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8" customHeight="1">
      <c r="A2" s="4" t="inlineStr">
        <is>
          <t>Scenario analysis: value × LTV × rate combinations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20" customHeight="1">
      <c r="A3" s="6" t="inlineStr">
        <is>
          <t>BASE ASSUMPTIONS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20" customHeight="1">
      <c r="A4" s="7" t="inlineStr">
        <is>
          <t>Input</t>
        </is>
      </c>
      <c r="B4" s="7" t="inlineStr">
        <is>
          <t>Current</t>
        </is>
      </c>
      <c r="C4" s="7" t="inlineStr">
        <is>
          <t>Refi Target</t>
        </is>
      </c>
      <c r="D4" s="7" t="inlineStr"/>
      <c r="E4" s="7" t="inlineStr"/>
      <c r="F4" s="7" t="inlineStr"/>
      <c r="G4" s="7" t="inlineStr"/>
      <c r="H4" s="7" t="inlineStr"/>
      <c r="I4" s="7" t="inlineStr"/>
    </row>
    <row r="5">
      <c r="A5" s="21" t="inlineStr">
        <is>
          <t>Property Value</t>
        </is>
      </c>
      <c r="B5" s="26" t="n">
        <v>12000000</v>
      </c>
      <c r="C5" s="26" t="n">
        <v>15000000</v>
      </c>
      <c r="D5" s="23" t="n"/>
      <c r="E5" s="23" t="n"/>
      <c r="F5" s="23" t="n"/>
      <c r="G5" s="23" t="n"/>
      <c r="H5" s="23" t="n"/>
      <c r="I5" s="23" t="n"/>
    </row>
    <row r="6">
      <c r="A6" s="18" t="inlineStr">
        <is>
          <t>LTV</t>
        </is>
      </c>
      <c r="B6" s="24" t="n">
        <v>0</v>
      </c>
      <c r="C6" s="24" t="n">
        <v>0.7</v>
      </c>
      <c r="D6" s="20" t="n"/>
      <c r="E6" s="20" t="n"/>
      <c r="F6" s="20" t="n"/>
      <c r="G6" s="20" t="n"/>
      <c r="H6" s="20" t="n"/>
      <c r="I6" s="20" t="n"/>
    </row>
    <row r="7">
      <c r="A7" s="21" t="inlineStr">
        <is>
          <t>Interest Rate</t>
        </is>
      </c>
      <c r="B7" s="22" t="n">
        <v>0.0544</v>
      </c>
      <c r="C7" s="22" t="n">
        <v>0.0575</v>
      </c>
      <c r="D7" s="23" t="n"/>
      <c r="E7" s="23" t="n"/>
      <c r="F7" s="23" t="n"/>
      <c r="G7" s="23" t="n"/>
      <c r="H7" s="23" t="n"/>
      <c r="I7" s="23" t="n"/>
    </row>
    <row r="8">
      <c r="A8" s="18" t="inlineStr">
        <is>
          <t>Amortization</t>
        </is>
      </c>
      <c r="B8" s="25" t="n">
        <v>30</v>
      </c>
      <c r="C8" s="25" t="n">
        <v>30</v>
      </c>
      <c r="D8" s="20" t="n"/>
      <c r="E8" s="20" t="n"/>
      <c r="F8" s="20" t="n"/>
      <c r="G8" s="20" t="n"/>
      <c r="H8" s="20" t="n"/>
      <c r="I8" s="20" t="n"/>
    </row>
    <row r="9">
      <c r="A9" s="21" t="inlineStr">
        <is>
          <t>I/O</t>
        </is>
      </c>
      <c r="B9" s="26" t="inlineStr">
        <is>
          <t>No</t>
        </is>
      </c>
      <c r="C9" s="26" t="inlineStr">
        <is>
          <t>Yes</t>
        </is>
      </c>
      <c r="D9" s="23" t="n"/>
      <c r="E9" s="23" t="n"/>
      <c r="F9" s="23" t="n"/>
      <c r="G9" s="23" t="n"/>
      <c r="H9" s="23" t="n"/>
      <c r="I9" s="23" t="n"/>
    </row>
    <row r="10">
      <c r="A10" s="18" t="inlineStr">
        <is>
          <t>Current Loan Bal.</t>
        </is>
      </c>
      <c r="B10" s="25" t="n">
        <v>8639141</v>
      </c>
      <c r="C10" s="25" t="inlineStr"/>
      <c r="D10" s="20" t="n"/>
      <c r="E10" s="20" t="n"/>
      <c r="F10" s="20" t="n"/>
      <c r="G10" s="20" t="n"/>
      <c r="H10" s="20" t="n"/>
      <c r="I10" s="20" t="n"/>
    </row>
    <row r="11"/>
    <row r="12" ht="20" customHeight="1">
      <c r="A12" s="6" t="inlineStr">
        <is>
          <t>SENSITIVITY: NET PROCEEDS BY VALUE &amp; RATE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0" customHeight="1">
      <c r="A13" s="7" t="inlineStr">
        <is>
          <t>Rate \ Value</t>
        </is>
      </c>
      <c r="B13" s="7" t="inlineStr">
        <is>
          <t>$12.7M</t>
        </is>
      </c>
      <c r="C13" s="7" t="inlineStr">
        <is>
          <t>$13.5M</t>
        </is>
      </c>
      <c r="D13" s="7" t="inlineStr">
        <is>
          <t>$14.2M</t>
        </is>
      </c>
      <c r="E13" s="7" t="inlineStr">
        <is>
          <t>$15.0M</t>
        </is>
      </c>
      <c r="F13" s="7" t="inlineStr">
        <is>
          <t>$15.7M</t>
        </is>
      </c>
      <c r="G13" s="7" t="inlineStr">
        <is>
          <t>$16.5M</t>
        </is>
      </c>
      <c r="H13" s="7" t="inlineStr">
        <is>
          <t>$17.2M</t>
        </is>
      </c>
      <c r="I13" s="7" t="n"/>
    </row>
    <row r="14">
      <c r="A14" s="18" t="inlineStr">
        <is>
          <t>4.50%</t>
        </is>
      </c>
      <c r="B14" s="25" t="n">
        <v>285859</v>
      </c>
      <c r="C14" s="25" t="n">
        <v>810859</v>
      </c>
      <c r="D14" s="25" t="n">
        <v>1335859</v>
      </c>
      <c r="E14" s="25" t="n">
        <v>1860859</v>
      </c>
      <c r="F14" s="25" t="n">
        <v>2385859</v>
      </c>
      <c r="G14" s="25" t="n">
        <v>2910859</v>
      </c>
      <c r="H14" s="25" t="n">
        <v>3435859</v>
      </c>
      <c r="I14" s="20" t="n"/>
    </row>
    <row r="15">
      <c r="A15" s="21" t="inlineStr">
        <is>
          <t>5.00%</t>
        </is>
      </c>
      <c r="B15" s="26" t="n">
        <v>285859</v>
      </c>
      <c r="C15" s="26" t="n">
        <v>810859</v>
      </c>
      <c r="D15" s="26" t="n">
        <v>1335859</v>
      </c>
      <c r="E15" s="26" t="n">
        <v>1860859</v>
      </c>
      <c r="F15" s="26" t="n">
        <v>2385859</v>
      </c>
      <c r="G15" s="26" t="n">
        <v>2910859</v>
      </c>
      <c r="H15" s="26" t="n">
        <v>3435859</v>
      </c>
      <c r="I15" s="23" t="n"/>
    </row>
    <row r="16">
      <c r="A16" s="18" t="inlineStr">
        <is>
          <t>5.50%</t>
        </is>
      </c>
      <c r="B16" s="25" t="n">
        <v>285859</v>
      </c>
      <c r="C16" s="25" t="n">
        <v>810859</v>
      </c>
      <c r="D16" s="25" t="n">
        <v>1335859</v>
      </c>
      <c r="E16" s="25" t="n">
        <v>1860859</v>
      </c>
      <c r="F16" s="25" t="n">
        <v>2385859</v>
      </c>
      <c r="G16" s="25" t="n">
        <v>2910859</v>
      </c>
      <c r="H16" s="25" t="n">
        <v>3435859</v>
      </c>
      <c r="I16" s="20" t="n"/>
    </row>
    <row r="17">
      <c r="A17" s="60" t="inlineStr">
        <is>
          <t>5.75%</t>
        </is>
      </c>
      <c r="B17" s="61" t="n">
        <v>285859</v>
      </c>
      <c r="C17" s="61" t="n">
        <v>810859</v>
      </c>
      <c r="D17" s="61" t="n">
        <v>1335859</v>
      </c>
      <c r="E17" s="61" t="n">
        <v>1860859</v>
      </c>
      <c r="F17" s="61" t="n">
        <v>2385859</v>
      </c>
      <c r="G17" s="61" t="n">
        <v>2910859</v>
      </c>
      <c r="H17" s="61" t="n">
        <v>3435859</v>
      </c>
      <c r="I17" s="17" t="n"/>
    </row>
    <row r="18">
      <c r="A18" s="18" t="inlineStr">
        <is>
          <t>6.50%</t>
        </is>
      </c>
      <c r="B18" s="25" t="n">
        <v>285859</v>
      </c>
      <c r="C18" s="25" t="n">
        <v>810859</v>
      </c>
      <c r="D18" s="25" t="n">
        <v>1335859</v>
      </c>
      <c r="E18" s="25" t="n">
        <v>1860859</v>
      </c>
      <c r="F18" s="25" t="n">
        <v>2385859</v>
      </c>
      <c r="G18" s="25" t="n">
        <v>2910859</v>
      </c>
      <c r="H18" s="25" t="n">
        <v>3435859</v>
      </c>
      <c r="I18" s="20" t="n"/>
    </row>
    <row r="19">
      <c r="A19" s="21" t="inlineStr">
        <is>
          <t>7.00%</t>
        </is>
      </c>
      <c r="B19" s="26" t="n">
        <v>285859</v>
      </c>
      <c r="C19" s="26" t="n">
        <v>810859</v>
      </c>
      <c r="D19" s="26" t="n">
        <v>1335859</v>
      </c>
      <c r="E19" s="26" t="n">
        <v>1860859</v>
      </c>
      <c r="F19" s="26" t="n">
        <v>2385859</v>
      </c>
      <c r="G19" s="26" t="n">
        <v>2910859</v>
      </c>
      <c r="H19" s="26" t="n">
        <v>3435859</v>
      </c>
      <c r="I19" s="23" t="n"/>
    </row>
    <row r="20"/>
    <row r="21" ht="20" customHeight="1">
      <c r="A21" s="6" t="inlineStr">
        <is>
          <t>REFI SCENARIO SUMMARY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20" customHeight="1">
      <c r="A22" s="7" t="inlineStr">
        <is>
          <t>Metric</t>
        </is>
      </c>
      <c r="B22" s="7" t="inlineStr">
        <is>
          <t>Value</t>
        </is>
      </c>
      <c r="C22" s="7" t="inlineStr">
        <is>
          <t>Notes</t>
        </is>
      </c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9" t="inlineStr">
        <is>
          <t>New Loan Amount</t>
        </is>
      </c>
      <c r="B23" s="53" t="n">
        <v>10500000</v>
      </c>
      <c r="C23" s="23" t="n"/>
      <c r="D23" s="23" t="n"/>
      <c r="E23" s="23" t="n"/>
      <c r="F23" s="23" t="n"/>
      <c r="G23" s="23" t="n"/>
      <c r="H23" s="23" t="n"/>
      <c r="I23" s="23" t="n"/>
    </row>
    <row r="24">
      <c r="A24" s="14" t="inlineStr">
        <is>
          <t>Net Cash-Out Proceeds</t>
        </is>
      </c>
      <c r="B24" s="15" t="n">
        <v>1860859</v>
      </c>
      <c r="C24" s="17" t="n"/>
      <c r="D24" s="17" t="n"/>
      <c r="E24" s="17" t="n"/>
      <c r="F24" s="17" t="n"/>
      <c r="G24" s="17" t="n"/>
      <c r="H24" s="17" t="n"/>
      <c r="I24" s="17" t="n"/>
    </row>
    <row r="25">
      <c r="A25" s="21" t="inlineStr">
        <is>
          <t>Annual Interest</t>
        </is>
      </c>
      <c r="B25" s="26" t="n">
        <v>603750</v>
      </c>
      <c r="C25" s="23" t="n"/>
      <c r="D25" s="23" t="n"/>
      <c r="E25" s="23" t="n"/>
      <c r="F25" s="23" t="n"/>
      <c r="G25" s="23" t="n"/>
      <c r="H25" s="23" t="n"/>
      <c r="I25" s="23" t="n"/>
    </row>
    <row r="26">
      <c r="A26" s="18" t="inlineStr">
        <is>
          <t>Monthly P&amp;I</t>
        </is>
      </c>
      <c r="B26" s="25" t="n">
        <v>50312.5</v>
      </c>
      <c r="C26" s="20" t="n"/>
      <c r="D26" s="20" t="n"/>
      <c r="E26" s="20" t="n"/>
      <c r="F26" s="20" t="n"/>
      <c r="G26" s="20" t="n"/>
      <c r="H26" s="20" t="n"/>
      <c r="I26" s="20" t="n"/>
    </row>
    <row r="27">
      <c r="A27" s="21" t="inlineStr">
        <is>
          <t>New LTV</t>
        </is>
      </c>
      <c r="B27" s="22" t="n">
        <v>0.7</v>
      </c>
      <c r="C27" s="23" t="n"/>
      <c r="D27" s="23" t="n"/>
      <c r="E27" s="23" t="n"/>
      <c r="F27" s="23" t="n"/>
      <c r="G27" s="23" t="n"/>
      <c r="H27" s="23" t="n"/>
      <c r="I27" s="23" t="n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10" customWidth="1" min="4" max="4"/>
    <col width="8" customWidth="1" min="5" max="5"/>
    <col width="12" customWidth="1" min="6" max="6"/>
    <col width="10" customWidth="1" min="7" max="7"/>
    <col width="10" customWidth="1" min="8" max="8"/>
    <col width="8" customWidth="1" min="9" max="9"/>
    <col hidden="1" min="10" max="10"/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</cols>
  <sheetData>
    <row r="1" ht="28" customHeight="1">
      <c r="A1" s="2" t="inlineStr">
        <is>
          <t>The Groves Apartments  |  Rent &amp; Sale Comparables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8" customHeight="1">
      <c r="A2" s="4" t="inlineStr">
        <is>
          <t>Market rent and sales comps  |  6800-6810 63rd Ave N, Brooklyn Park MN 55443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20" customHeight="1">
      <c r="A3" s="6" t="inlineStr">
        <is>
          <t>SUBJECT PROPERTY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20" customHeight="1">
      <c r="A4" s="7" t="inlineStr">
        <is>
          <t>#</t>
        </is>
      </c>
      <c r="B4" s="7" t="inlineStr">
        <is>
          <t>Property</t>
        </is>
      </c>
      <c r="C4" s="7" t="inlineStr">
        <is>
          <t>Address</t>
        </is>
      </c>
      <c r="D4" s="7" t="inlineStr">
        <is>
          <t>Built</t>
        </is>
      </c>
      <c r="E4" s="7" t="inlineStr">
        <is>
          <t>Avg SF</t>
        </is>
      </c>
      <c r="F4" s="7" t="inlineStr">
        <is>
          <t>Avg Rent</t>
        </is>
      </c>
      <c r="G4" s="7" t="inlineStr">
        <is>
          <t>$/SF</t>
        </is>
      </c>
      <c r="H4" s="7" t="inlineStr">
        <is>
          <t>Occ %</t>
        </is>
      </c>
      <c r="I4" s="7" t="inlineStr"/>
    </row>
    <row r="5">
      <c r="A5" s="58" t="inlineStr">
        <is>
          <t>*</t>
        </is>
      </c>
      <c r="B5" s="13" t="inlineStr">
        <is>
          <t>The Groves Apartments</t>
        </is>
      </c>
      <c r="C5" s="20" t="inlineStr">
        <is>
          <t>6800-6810 63rd Ave N, Brooklyn Park MN 55443</t>
        </is>
      </c>
      <c r="D5" s="20" t="n">
        <v>1967</v>
      </c>
      <c r="E5" s="62" t="n">
        <v>827</v>
      </c>
      <c r="F5" s="38" t="n">
        <v>1450</v>
      </c>
      <c r="G5" s="63" t="n">
        <v>1.75226586102719</v>
      </c>
      <c r="H5" s="20" t="n"/>
      <c r="I5" s="20" t="n"/>
    </row>
    <row r="6"/>
    <row r="7" ht="20" customHeight="1">
      <c r="A7" s="6" t="inlineStr">
        <is>
          <t>ONE BEDROOM RENT COMPARABLES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 ht="20" customHeight="1">
      <c r="A8" s="7" t="inlineStr">
        <is>
          <t>#</t>
        </is>
      </c>
      <c r="B8" s="7" t="inlineStr">
        <is>
          <t>Property</t>
        </is>
      </c>
      <c r="C8" s="7" t="inlineStr">
        <is>
          <t>Address</t>
        </is>
      </c>
      <c r="D8" s="7" t="inlineStr">
        <is>
          <t>Built</t>
        </is>
      </c>
      <c r="E8" s="7" t="inlineStr">
        <is>
          <t>Avg SF</t>
        </is>
      </c>
      <c r="F8" s="7" t="inlineStr">
        <is>
          <t>Avg Rent</t>
        </is>
      </c>
      <c r="G8" s="7" t="inlineStr">
        <is>
          <t>$/SF</t>
        </is>
      </c>
      <c r="H8" s="7" t="inlineStr">
        <is>
          <t>Occ %</t>
        </is>
      </c>
      <c r="I8" s="7" t="inlineStr"/>
    </row>
    <row r="9">
      <c r="A9" s="8" t="inlineStr">
        <is>
          <t>1</t>
        </is>
      </c>
      <c r="B9" s="9" t="inlineStr">
        <is>
          <t>Fountains in the Park</t>
        </is>
      </c>
      <c r="C9" s="10" t="inlineStr">
        <is>
          <t>5700 73rd Ave N, Brooklyn Park</t>
        </is>
      </c>
      <c r="D9" s="10" t="inlineStr">
        <is>
          <t>1976</t>
        </is>
      </c>
      <c r="E9" s="49" t="n">
        <v>784</v>
      </c>
      <c r="F9" s="26" t="n">
        <v>1305</v>
      </c>
      <c r="G9" s="26" t="n">
        <v>1.66</v>
      </c>
      <c r="H9" s="22" t="n">
        <v>0.95</v>
      </c>
      <c r="I9" s="23" t="n"/>
    </row>
    <row r="10">
      <c r="A10" s="11" t="inlineStr">
        <is>
          <t>2</t>
        </is>
      </c>
      <c r="B10" s="13" t="inlineStr">
        <is>
          <t>Ridgebrook Apartments</t>
        </is>
      </c>
      <c r="C10" s="12" t="inlineStr">
        <is>
          <t>5840 73rd Ave N, Brooklyn Park</t>
        </is>
      </c>
      <c r="D10" s="12" t="inlineStr">
        <is>
          <t>1969</t>
        </is>
      </c>
      <c r="E10" s="50" t="n">
        <v>847</v>
      </c>
      <c r="F10" s="25" t="n">
        <v>1150</v>
      </c>
      <c r="G10" s="25" t="n">
        <v>1.36</v>
      </c>
      <c r="H10" s="24" t="n">
        <v>0.87</v>
      </c>
      <c r="I10" s="20" t="n"/>
    </row>
    <row r="11">
      <c r="A11" s="8" t="inlineStr">
        <is>
          <t>3</t>
        </is>
      </c>
      <c r="B11" s="9" t="inlineStr">
        <is>
          <t>Park Place Off Broadway</t>
        </is>
      </c>
      <c r="C11" s="10" t="inlineStr">
        <is>
          <t>7136 60th Ave N, New Hope</t>
        </is>
      </c>
      <c r="D11" s="10" t="inlineStr">
        <is>
          <t>1961</t>
        </is>
      </c>
      <c r="E11" s="49" t="n">
        <v>650</v>
      </c>
      <c r="F11" s="26" t="n">
        <v>1179</v>
      </c>
      <c r="G11" s="26" t="n">
        <v>1.81</v>
      </c>
      <c r="H11" s="22" t="n">
        <v>1</v>
      </c>
      <c r="I11" s="23" t="n"/>
    </row>
    <row r="12">
      <c r="A12" s="11" t="inlineStr">
        <is>
          <t>4</t>
        </is>
      </c>
      <c r="B12" s="13" t="inlineStr">
        <is>
          <t>Eden Park Apartments</t>
        </is>
      </c>
      <c r="C12" s="12" t="inlineStr">
        <is>
          <t>6455 Zane Ave N, Brooklyn Park</t>
        </is>
      </c>
      <c r="D12" s="12" t="inlineStr">
        <is>
          <t>1971</t>
        </is>
      </c>
      <c r="E12" s="50" t="n">
        <v>670</v>
      </c>
      <c r="F12" s="25" t="n">
        <v>1124</v>
      </c>
      <c r="G12" s="25" t="n">
        <v>1.68</v>
      </c>
      <c r="H12" s="24" t="n">
        <v>0.9399999999999999</v>
      </c>
      <c r="I12" s="20" t="n"/>
    </row>
    <row r="13">
      <c r="A13" s="8" t="inlineStr">
        <is>
          <t>5</t>
        </is>
      </c>
      <c r="B13" s="9" t="inlineStr">
        <is>
          <t>Garden Gates</t>
        </is>
      </c>
      <c r="C13" s="10" t="inlineStr">
        <is>
          <t>6402 Douglas Dr N, Brooklyn Park</t>
        </is>
      </c>
      <c r="D13" s="10" t="inlineStr">
        <is>
          <t>1966</t>
        </is>
      </c>
      <c r="E13" s="49" t="n">
        <v>750</v>
      </c>
      <c r="F13" s="26" t="n">
        <v>1169</v>
      </c>
      <c r="G13" s="26" t="n">
        <v>1.56</v>
      </c>
      <c r="H13" s="22" t="n">
        <v>1</v>
      </c>
      <c r="I13" s="23" t="n"/>
    </row>
    <row r="14"/>
    <row r="15" ht="20" customHeight="1">
      <c r="A15" s="6" t="inlineStr">
        <is>
          <t>TWO BEDROOM RENT COMPARABLES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0" customHeight="1">
      <c r="A16" s="7" t="inlineStr">
        <is>
          <t>#</t>
        </is>
      </c>
      <c r="B16" s="7" t="inlineStr">
        <is>
          <t>Property</t>
        </is>
      </c>
      <c r="C16" s="7" t="inlineStr">
        <is>
          <t>Address</t>
        </is>
      </c>
      <c r="D16" s="7" t="inlineStr">
        <is>
          <t>Built</t>
        </is>
      </c>
      <c r="E16" s="7" t="inlineStr">
        <is>
          <t>Avg SF</t>
        </is>
      </c>
      <c r="F16" s="7" t="inlineStr">
        <is>
          <t>Avg Rent</t>
        </is>
      </c>
      <c r="G16" s="7" t="inlineStr">
        <is>
          <t>$/SF</t>
        </is>
      </c>
      <c r="H16" s="7" t="inlineStr">
        <is>
          <t>Occ %</t>
        </is>
      </c>
      <c r="I16" s="7" t="inlineStr"/>
    </row>
    <row r="17">
      <c r="A17" s="8" t="inlineStr">
        <is>
          <t>1</t>
        </is>
      </c>
      <c r="B17" s="9" t="inlineStr">
        <is>
          <t>Fountains in the Park</t>
        </is>
      </c>
      <c r="C17" s="10" t="inlineStr">
        <is>
          <t>5700 73rd Ave N, Brooklyn Park</t>
        </is>
      </c>
      <c r="D17" s="10" t="inlineStr">
        <is>
          <t>1976</t>
        </is>
      </c>
      <c r="E17" s="49" t="n">
        <v>950</v>
      </c>
      <c r="F17" s="26" t="n">
        <v>1495</v>
      </c>
      <c r="G17" s="26" t="n">
        <v>1.57</v>
      </c>
      <c r="H17" s="22" t="n">
        <v>0.95</v>
      </c>
      <c r="I17" s="23" t="n"/>
    </row>
    <row r="18">
      <c r="A18" s="11" t="inlineStr">
        <is>
          <t>2</t>
        </is>
      </c>
      <c r="B18" s="13" t="inlineStr">
        <is>
          <t>Ridgebrook Apartments</t>
        </is>
      </c>
      <c r="C18" s="12" t="inlineStr">
        <is>
          <t>5840 73rd Ave N, Brooklyn Park</t>
        </is>
      </c>
      <c r="D18" s="12" t="inlineStr">
        <is>
          <t>1969</t>
        </is>
      </c>
      <c r="E18" s="50" t="n">
        <v>954</v>
      </c>
      <c r="F18" s="25" t="n">
        <v>1450</v>
      </c>
      <c r="G18" s="25" t="n">
        <v>1.52</v>
      </c>
      <c r="H18" s="24" t="n">
        <v>0.87</v>
      </c>
      <c r="I18" s="20" t="n"/>
    </row>
    <row r="19">
      <c r="A19" s="8" t="inlineStr">
        <is>
          <t>3</t>
        </is>
      </c>
      <c r="B19" s="9" t="inlineStr">
        <is>
          <t>Park Place Off Broadway</t>
        </is>
      </c>
      <c r="C19" s="10" t="inlineStr">
        <is>
          <t>7136 60th Ave N, New Hope</t>
        </is>
      </c>
      <c r="D19" s="10" t="inlineStr">
        <is>
          <t>1961</t>
        </is>
      </c>
      <c r="E19" s="49" t="n">
        <v>750</v>
      </c>
      <c r="F19" s="26" t="n">
        <v>1449</v>
      </c>
      <c r="G19" s="26" t="n">
        <v>1.93</v>
      </c>
      <c r="H19" s="22" t="n">
        <v>1</v>
      </c>
      <c r="I19" s="23" t="n"/>
    </row>
    <row r="20">
      <c r="A20" s="11" t="inlineStr">
        <is>
          <t>4</t>
        </is>
      </c>
      <c r="B20" s="13" t="inlineStr">
        <is>
          <t>Eden Park Apartments</t>
        </is>
      </c>
      <c r="C20" s="12" t="inlineStr">
        <is>
          <t>6455 Zane Ave N, Brooklyn Park</t>
        </is>
      </c>
      <c r="D20" s="12" t="inlineStr">
        <is>
          <t>1971</t>
        </is>
      </c>
      <c r="E20" s="50" t="n">
        <v>900</v>
      </c>
      <c r="F20" s="25" t="n">
        <v>1451</v>
      </c>
      <c r="G20" s="25" t="n">
        <v>1.61</v>
      </c>
      <c r="H20" s="24" t="n">
        <v>0.9399999999999999</v>
      </c>
      <c r="I20" s="20" t="n"/>
    </row>
    <row r="21">
      <c r="A21" s="8" t="inlineStr">
        <is>
          <t>5</t>
        </is>
      </c>
      <c r="B21" s="9" t="inlineStr">
        <is>
          <t>Garden Gates</t>
        </is>
      </c>
      <c r="C21" s="10" t="inlineStr">
        <is>
          <t>6402 Douglas Dr N, Brooklyn Park</t>
        </is>
      </c>
      <c r="D21" s="10" t="inlineStr">
        <is>
          <t>1966</t>
        </is>
      </c>
      <c r="E21" s="49" t="n">
        <v>950</v>
      </c>
      <c r="F21" s="26" t="n">
        <v>1390</v>
      </c>
      <c r="G21" s="26" t="n">
        <v>1.46</v>
      </c>
      <c r="H21" s="22" t="n">
        <v>1</v>
      </c>
      <c r="I21" s="23" t="n"/>
    </row>
    <row r="22"/>
    <row r="23" ht="20" customHeight="1">
      <c r="A23" s="6" t="inlineStr">
        <is>
          <t>SALE COMPARABLES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20" customHeight="1">
      <c r="A24" s="7" t="inlineStr">
        <is>
          <t>#</t>
        </is>
      </c>
      <c r="B24" s="7" t="inlineStr">
        <is>
          <t>Property</t>
        </is>
      </c>
      <c r="C24" s="7" t="inlineStr">
        <is>
          <t>Address</t>
        </is>
      </c>
      <c r="D24" s="7" t="inlineStr">
        <is>
          <t>Sale Date</t>
        </is>
      </c>
      <c r="E24" s="7" t="inlineStr">
        <is>
          <t>Units</t>
        </is>
      </c>
      <c r="F24" s="7" t="inlineStr">
        <is>
          <t>Sale Price</t>
        </is>
      </c>
      <c r="G24" s="7" t="inlineStr">
        <is>
          <t>$/Unit</t>
        </is>
      </c>
      <c r="H24" s="7" t="inlineStr">
        <is>
          <t>Year Built</t>
        </is>
      </c>
      <c r="I24" s="7" t="inlineStr"/>
    </row>
    <row r="25">
      <c r="A25" s="8" t="inlineStr">
        <is>
          <t>1</t>
        </is>
      </c>
      <c r="B25" s="9" t="inlineStr">
        <is>
          <t>River Glen</t>
        </is>
      </c>
      <c r="C25" s="10" t="inlineStr">
        <is>
          <t>507 70th Ave N, Brooklyn Center</t>
        </is>
      </c>
      <c r="D25" s="10" t="inlineStr">
        <is>
          <t>Dec-25</t>
        </is>
      </c>
      <c r="E25" s="49" t="n">
        <v>128</v>
      </c>
      <c r="F25" s="26" t="n">
        <v>14000000</v>
      </c>
      <c r="G25" s="26" t="n">
        <v>109375</v>
      </c>
      <c r="H25" s="49" t="n">
        <v>1971</v>
      </c>
      <c r="I25" s="23" t="n"/>
    </row>
    <row r="26">
      <c r="A26" s="11" t="inlineStr">
        <is>
          <t>2</t>
        </is>
      </c>
      <c r="B26" s="13" t="inlineStr">
        <is>
          <t>Sunset Apartments</t>
        </is>
      </c>
      <c r="C26" s="12" t="inlineStr">
        <is>
          <t>2701 Xylon Ave N, New Hope</t>
        </is>
      </c>
      <c r="D26" s="12" t="inlineStr">
        <is>
          <t>Dec-25</t>
        </is>
      </c>
      <c r="E26" s="50" t="n">
        <v>32</v>
      </c>
      <c r="F26" s="25" t="n">
        <v>3575000</v>
      </c>
      <c r="G26" s="25" t="n">
        <v>111719</v>
      </c>
      <c r="H26" s="50" t="n">
        <v>1970</v>
      </c>
      <c r="I26" s="20" t="n"/>
    </row>
    <row r="27">
      <c r="A27" s="8" t="inlineStr">
        <is>
          <t>3</t>
        </is>
      </c>
      <c r="B27" s="9" t="inlineStr">
        <is>
          <t>Twin Lakes</t>
        </is>
      </c>
      <c r="C27" s="10" t="inlineStr">
        <is>
          <t>4259 W Broadway Ave, Robbinsdale</t>
        </is>
      </c>
      <c r="D27" s="10" t="inlineStr">
        <is>
          <t>Aug-25</t>
        </is>
      </c>
      <c r="E27" s="49" t="n">
        <v>31</v>
      </c>
      <c r="F27" s="26" t="n">
        <v>3475000</v>
      </c>
      <c r="G27" s="26" t="n">
        <v>112097</v>
      </c>
      <c r="H27" s="49" t="n">
        <v>1971</v>
      </c>
      <c r="I27" s="23" t="n"/>
    </row>
    <row r="28">
      <c r="A28" s="11" t="inlineStr">
        <is>
          <t>4</t>
        </is>
      </c>
      <c r="B28" s="13" t="inlineStr">
        <is>
          <t>Crest Oak</t>
        </is>
      </c>
      <c r="C28" s="12" t="inlineStr">
        <is>
          <t>9900 Bluebird St NW, Coon Rapids</t>
        </is>
      </c>
      <c r="D28" s="12" t="inlineStr">
        <is>
          <t>Jan-25</t>
        </is>
      </c>
      <c r="E28" s="50" t="n">
        <v>60</v>
      </c>
      <c r="F28" s="25" t="n">
        <v>7300000</v>
      </c>
      <c r="G28" s="25" t="n">
        <v>121667</v>
      </c>
      <c r="H28" s="50" t="n">
        <v>1973</v>
      </c>
      <c r="I28" s="20" t="n"/>
    </row>
    <row r="29">
      <c r="A29" s="8" t="inlineStr">
        <is>
          <t>5</t>
        </is>
      </c>
      <c r="B29" s="9" t="inlineStr">
        <is>
          <t>Valley Place</t>
        </is>
      </c>
      <c r="C29" s="10" t="inlineStr">
        <is>
          <t>7201 36th Ave N, Crystal</t>
        </is>
      </c>
      <c r="D29" s="10" t="inlineStr">
        <is>
          <t>Nov-24</t>
        </is>
      </c>
      <c r="E29" s="49" t="n">
        <v>71</v>
      </c>
      <c r="F29" s="26" t="n">
        <v>8911549</v>
      </c>
      <c r="G29" s="26" t="n">
        <v>125515</v>
      </c>
      <c r="H29" s="49" t="n">
        <v>1971</v>
      </c>
      <c r="I29" s="23" t="n"/>
    </row>
    <row r="30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2026-02-27T23:58:51Z</dcterms:created>
  <dcterms:modified xsi:type="dcterms:W3CDTF">2026-02-27T23:58:51Z</dcterms:modified>
</cp:coreProperties>
</file>